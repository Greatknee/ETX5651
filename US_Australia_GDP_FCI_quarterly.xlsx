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685c7820f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data" sheetId="1" r:id="Re767ccaa2bff4d1d"/>
    <x:sheet xmlns:r="http://schemas.openxmlformats.org/officeDocument/2006/relationships" name="Quarterly inputs" sheetId="2" r:id="Rc0d2be54270246d2"/>
    <x:sheet xmlns:r="http://schemas.openxmlformats.org/officeDocument/2006/relationships" name="Definitions" sheetId="3" r:id="Rb0c6d65cd171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5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771b4ae4b461e" /><Relationship Type="http://schemas.openxmlformats.org/officeDocument/2006/relationships/theme" Target="/xl/theme/theme1.xml" Id="R6c7d21bf809c450f" /><Relationship Type="http://schemas.openxmlformats.org/officeDocument/2006/relationships/sharedStrings" Target="/xl/sharedStrings.xml" Id="Raba89188d2fd49c7" /><Relationship Type="http://schemas.openxmlformats.org/officeDocument/2006/relationships/worksheet" Target="/xl/worksheets/sheet1.xml" Id="Re767ccaa2bff4d1d" /><Relationship Type="http://schemas.openxmlformats.org/officeDocument/2006/relationships/worksheet" Target="/xl/worksheets/sheet2.xml" Id="Rc0d2be54270246d2" /><Relationship Type="http://schemas.openxmlformats.org/officeDocument/2006/relationships/worksheet" Target="/xl/worksheets/sheet3.xml" Id="Rb0c6d65cd171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 ht="36" customHeight="1">
      <x:c r="A1" s="4" t="str">
        <x:v>quarter</x:v>
      </x:c>
      <x:c r="B1" s="4" t="str">
        <x:v>us_gdp_growth_qoq_pct</x:v>
      </x:c>
      <x:c r="C1" s="4" t="str">
        <x:v>us_nfci</x:v>
      </x:c>
      <x:c r="D1" s="4" t="str">
        <x:v>aus_gdp_growth_qoq_pct</x:v>
      </x:c>
      <x:c r="E1" s="4" t="str">
        <x:v>aus_fci</x:v>
      </x:c>
    </x:row>
    <x:row r="2" ht="21" customHeight="1">
      <x:c r="A2" s="1" t="str">
        <x:v>1976Q4</x:v>
      </x:c>
      <x:c r="B2" s="5" t="n">
        <x:f>100*('Quarterly inputs'!B3/'Quarterly inputs'!B2-1)</x:f>
        <x:v>0.7226035711748402</x:v>
      </x:c>
      <x:c r="C2" s="5" t="n">
        <x:f>'Quarterly inputs'!D3</x:f>
        <x:v>-0.6951428571428571</x:v>
      </x:c>
      <x:c r="D2" s="5" t="n">
        <x:f>100*('Quarterly inputs'!C3/'Quarterly inputs'!C2-1)</x:f>
        <x:v>0.8606027825355245</x:v>
      </x:c>
      <x:c r="E2" s="5" t="n">
        <x:f>'Quarterly inputs'!E3</x:f>
        <x:v>0.371798864730514</x:v>
      </x:c>
    </x:row>
    <x:row r="3" ht="21" customHeight="1">
      <x:c r="A3" s="1" t="str">
        <x:v>1977Q1</x:v>
      </x:c>
      <x:c r="B3" s="5" t="n">
        <x:f>100*('Quarterly inputs'!B4/'Quarterly inputs'!B3-1)</x:f>
        <x:v>1.1862331478426524</x:v>
      </x:c>
      <x:c r="C3" s="5" t="n">
        <x:f>'Quarterly inputs'!D4</x:f>
        <x:v>-0.8941666666666667</x:v>
      </x:c>
      <x:c r="D3" s="5" t="n">
        <x:f>100*('Quarterly inputs'!C4/'Quarterly inputs'!C3-1)</x:f>
        <x:v>-0.5273287373307012</x:v>
      </x:c>
      <x:c r="E3" s="5" t="n">
        <x:f>'Quarterly inputs'!E4</x:f>
        <x:v>0.371079193113271</x:v>
      </x:c>
    </x:row>
    <x:row r="4" ht="21" customHeight="1">
      <x:c r="A4" s="1" t="str">
        <x:v>1977Q2</x:v>
      </x:c>
      <x:c r="B4" s="5" t="n">
        <x:f>100*('Quarterly inputs'!B5/'Quarterly inputs'!B4-1)</x:f>
        <x:v>1.9419235219494402</x:v>
      </x:c>
      <x:c r="C4" s="5" t="n">
        <x:f>'Quarterly inputs'!D5</x:f>
        <x:v>-0.6064615384615385</x:v>
      </x:c>
      <x:c r="D4" s="5" t="n">
        <x:f>100*('Quarterly inputs'!C5/'Quarterly inputs'!C4-1)</x:f>
        <x:v>1.4058774903858762</x:v>
      </x:c>
      <x:c r="E4" s="5" t="n">
        <x:f>'Quarterly inputs'!E5</x:f>
        <x:v>0.194786068281702</x:v>
      </x:c>
    </x:row>
    <x:row r="5" ht="21" customHeight="1">
      <x:c r="A5" s="1" t="str">
        <x:v>1977Q3</x:v>
      </x:c>
      <x:c r="B5" s="5" t="n">
        <x:f>100*('Quarterly inputs'!B6/'Quarterly inputs'!B5-1)</x:f>
        <x:v>1.8031649722156429</x:v>
      </x:c>
      <x:c r="C5" s="5" t="n">
        <x:f>'Quarterly inputs'!D6</x:f>
        <x:v>-0.4724285714285714</x:v>
      </x:c>
      <x:c r="D5" s="5" t="n">
        <x:f>100*('Quarterly inputs'!C6/'Quarterly inputs'!C5-1)</x:f>
        <x:v>-0.43003384744431106</x:v>
      </x:c>
      <x:c r="E5" s="5" t="n">
        <x:f>'Quarterly inputs'!E6</x:f>
        <x:v>0.303784800916373</x:v>
      </x:c>
    </x:row>
    <x:row r="6" ht="21" customHeight="1">
      <x:c r="A6" s="1" t="str">
        <x:v>1977Q4</x:v>
      </x:c>
      <x:c r="B6" s="5" t="n">
        <x:f>100*('Quarterly inputs'!B7/'Quarterly inputs'!B6-1)</x:f>
        <x:v>0.001992779642701059</x:v>
      </x:c>
      <x:c r="C6" s="5" t="n">
        <x:f>'Quarterly inputs'!D7</x:f>
        <x:v>-0.2530769230769231</x:v>
      </x:c>
      <x:c r="D6" s="5" t="n">
        <x:f>100*('Quarterly inputs'!C7/'Quarterly inputs'!C6-1)</x:f>
        <x:v>-0.3114599462509138</x:v>
      </x:c>
      <x:c r="E6" s="5" t="n">
        <x:f>'Quarterly inputs'!E7</x:f>
        <x:v>0.273970182951592</x:v>
      </x:c>
    </x:row>
    <x:row r="7" ht="21" customHeight="1">
      <x:c r="A7" s="1" t="str">
        <x:v>1978Q1</x:v>
      </x:c>
      <x:c r="B7" s="5" t="n">
        <x:f>100*('Quarterly inputs'!B8/'Quarterly inputs'!B7-1)</x:f>
        <x:v>0.319842139570925</x:v>
      </x:c>
      <x:c r="C7" s="5" t="n">
        <x:f>'Quarterly inputs'!D8</x:f>
        <x:v>-0.1950769230769231</x:v>
      </x:c>
      <x:c r="D7" s="5" t="n">
        <x:f>100*('Quarterly inputs'!C8/'Quarterly inputs'!C7-1)</x:f>
        <x:v>0.7087766907091231</x:v>
      </x:c>
      <x:c r="E7" s="5" t="n">
        <x:f>'Quarterly inputs'!E8</x:f>
        <x:v>0.380612139637898</x:v>
      </x:c>
    </x:row>
    <x:row r="8" ht="21" customHeight="1">
      <x:c r="A8" s="1" t="str">
        <x:v>1978Q2</x:v>
      </x:c>
      <x:c r="B8" s="5" t="n">
        <x:f>100*('Quarterly inputs'!B9/'Quarterly inputs'!B8-1)</x:f>
        <x:v>3.864772683799611</x:v>
      </x:c>
      <x:c r="C8" s="5" t="n">
        <x:f>'Quarterly inputs'!D9</x:f>
        <x:v>0.4383846153846154</x:v>
      </x:c>
      <x:c r="D8" s="5" t="n">
        <x:f>100*('Quarterly inputs'!C9/'Quarterly inputs'!C8-1)</x:f>
        <x:v>0.8308366868171158</x:v>
      </x:c>
      <x:c r="E8" s="5" t="n">
        <x:f>'Quarterly inputs'!E9</x:f>
        <x:v>0.0984550683895609</x:v>
      </x:c>
    </x:row>
    <x:row r="9" ht="21" customHeight="1">
      <x:c r="A9" s="1" t="str">
        <x:v>1978Q3</x:v>
      </x:c>
      <x:c r="B9" s="5" t="n">
        <x:f>100*('Quarterly inputs'!B10/'Quarterly inputs'!B9-1)</x:f>
        <x:v>1.0057487547670219</x:v>
      </x:c>
      <x:c r="C9" s="5" t="n">
        <x:f>'Quarterly inputs'!D10</x:f>
        <x:v>0.5990769230769231</x:v>
      </x:c>
      <x:c r="D9" s="5" t="n">
        <x:f>100*('Quarterly inputs'!C10/'Quarterly inputs'!C9-1)</x:f>
        <x:v>1.52022176249611</x:v>
      </x:c>
      <x:c r="E9" s="5" t="n">
        <x:f>'Quarterly inputs'!E10</x:f>
        <x:v>-0.195162306980812</x:v>
      </x:c>
    </x:row>
    <x:row r="10" ht="21" customHeight="1">
      <x:c r="A10" s="1" t="str">
        <x:v>1978Q4</x:v>
      </x:c>
      <x:c r="B10" s="5" t="n">
        <x:f>100*('Quarterly inputs'!B11/'Quarterly inputs'!B10-1)</x:f>
        <x:v>1.3441254208500286</x:v>
      </x:c>
      <x:c r="C10" s="5" t="n">
        <x:f>'Quarterly inputs'!D11</x:f>
        <x:v>1.7375384615384617</x:v>
      </x:c>
      <x:c r="D10" s="5" t="n">
        <x:f>100*('Quarterly inputs'!C11/'Quarterly inputs'!C10-1)</x:f>
        <x:v>0.8087653772217873</x:v>
      </x:c>
      <x:c r="E10" s="5" t="n">
        <x:f>'Quarterly inputs'!E11</x:f>
        <x:v>0.0088427259193462</x:v>
      </x:c>
    </x:row>
    <x:row r="11" ht="21" customHeight="1">
      <x:c r="A11" s="1" t="str">
        <x:v>1979Q1</x:v>
      </x:c>
      <x:c r="B11" s="5" t="n">
        <x:f>100*('Quarterly inputs'!B12/'Quarterly inputs'!B11-1)</x:f>
        <x:v>0.17959381379095696</x:v>
      </x:c>
      <x:c r="C11" s="5" t="n">
        <x:f>'Quarterly inputs'!D12</x:f>
        <x:v>0.8063846153846155</x:v>
      </x:c>
      <x:c r="D11" s="5" t="n">
        <x:f>100*('Quarterly inputs'!C12/'Quarterly inputs'!C11-1)</x:f>
        <x:v>2.7635888860892965</x:v>
      </x:c>
      <x:c r="E11" s="5" t="n">
        <x:f>'Quarterly inputs'!E12</x:f>
        <x:v>-0.0850943889992822</x:v>
      </x:c>
    </x:row>
    <x:row r="12" ht="21" customHeight="1">
      <x:c r="A12" s="1" t="str">
        <x:v>1979Q2</x:v>
      </x:c>
      <x:c r="B12" s="5" t="n">
        <x:f>100*('Quarterly inputs'!B13/'Quarterly inputs'!B12-1)</x:f>
        <x:v>0.10674528822540719</x:v>
      </x:c>
      <x:c r="C12" s="5" t="n">
        <x:f>'Quarterly inputs'!D13</x:f>
        <x:v>0.4492307692307692</x:v>
      </x:c>
      <x:c r="D12" s="5" t="n">
        <x:f>100*('Quarterly inputs'!C13/'Quarterly inputs'!C12-1)</x:f>
        <x:v>-1.6160130172634735</x:v>
      </x:c>
      <x:c r="E12" s="5" t="n">
        <x:f>'Quarterly inputs'!E13</x:f>
        <x:v>0.0114800135566107</x:v>
      </x:c>
    </x:row>
    <x:row r="13" ht="21" customHeight="1">
      <x:c r="A13" s="1" t="str">
        <x:v>1979Q3</x:v>
      </x:c>
      <x:c r="B13" s="5" t="n">
        <x:f>100*('Quarterly inputs'!B14/'Quarterly inputs'!B13-1)</x:f>
        <x:v>0.7428046876444716</x:v>
      </x:c>
      <x:c r="C13" s="5" t="n">
        <x:f>'Quarterly inputs'!D14</x:f>
        <x:v>1.5118461538461538</x:v>
      </x:c>
      <x:c r="D13" s="5" t="n">
        <x:f>100*('Quarterly inputs'!C14/'Quarterly inputs'!C13-1)</x:f>
        <x:v>0.9277614780746957</x:v>
      </x:c>
      <x:c r="E13" s="5" t="n">
        <x:f>'Quarterly inputs'!E14</x:f>
        <x:v>-0.192783284710418</x:v>
      </x:c>
    </x:row>
    <x:row r="14" ht="21" customHeight="1">
      <x:c r="A14" s="1" t="str">
        <x:v>1979Q4</x:v>
      </x:c>
      <x:c r="B14" s="5" t="n">
        <x:f>100*('Quarterly inputs'!B15/'Quarterly inputs'!B14-1)</x:f>
        <x:v>0.2500451694941619</x:v>
      </x:c>
      <x:c r="C14" s="5" t="n">
        <x:f>'Quarterly inputs'!D15</x:f>
        <x:v>2.311230769230769</x:v>
      </x:c>
      <x:c r="D14" s="5" t="n">
        <x:f>100*('Quarterly inputs'!C15/'Quarterly inputs'!C14-1)</x:f>
        <x:v>1.920961659333753</x:v>
      </x:c>
      <x:c r="E14" s="5" t="n">
        <x:f>'Quarterly inputs'!E15</x:f>
        <x:v>-0.121809731879389</x:v>
      </x:c>
    </x:row>
    <x:row r="15" ht="21" customHeight="1">
      <x:c r="A15" s="1" t="str">
        <x:v>1980Q1</x:v>
      </x:c>
      <x:c r="B15" s="5" t="n">
        <x:f>100*('Quarterly inputs'!B16/'Quarterly inputs'!B15-1)</x:f>
        <x:v>0.31457115392630186</x:v>
      </x:c>
      <x:c r="C15" s="5" t="n">
        <x:f>'Quarterly inputs'!D16</x:f>
        <x:v>2.4526153846153846</x:v>
      </x:c>
      <x:c r="D15" s="5" t="n">
        <x:f>100*('Quarterly inputs'!C16/'Quarterly inputs'!C15-1)</x:f>
        <x:v>0.4801365525975321</x:v>
      </x:c>
      <x:c r="E15" s="5" t="n">
        <x:f>'Quarterly inputs'!E16</x:f>
        <x:v>-0.274808861791302</x:v>
      </x:c>
    </x:row>
    <x:row r="16" ht="21" customHeight="1">
      <x:c r="A16" s="1" t="str">
        <x:v>1980Q2</x:v>
      </x:c>
      <x:c r="B16" s="5" t="n">
        <x:f>100*('Quarterly inputs'!B17/'Quarterly inputs'!B16-1)</x:f>
        <x:v>-2.0604348641575676</x:v>
      </x:c>
      <x:c r="C16" s="5" t="n">
        <x:f>'Quarterly inputs'!D17</x:f>
        <x:v>3.0881538461538462</x:v>
      </x:c>
      <x:c r="D16" s="5" t="n">
        <x:f>100*('Quarterly inputs'!C17/'Quarterly inputs'!C16-1)</x:f>
        <x:v>0.24330500254812204</x:v>
      </x:c>
      <x:c r="E16" s="5" t="n">
        <x:f>'Quarterly inputs'!E17</x:f>
        <x:v>-0.358085219316941</x:v>
      </x:c>
    </x:row>
    <x:row r="17" ht="21" customHeight="1">
      <x:c r="A17" s="1" t="str">
        <x:v>1980Q3</x:v>
      </x:c>
      <x:c r="B17" s="5" t="n">
        <x:f>100*('Quarterly inputs'!B18/'Quarterly inputs'!B17-1)</x:f>
        <x:v>-0.11885474978821087</x:v>
      </x:c>
      <x:c r="C17" s="5" t="n">
        <x:f>'Quarterly inputs'!D18</x:f>
        <x:v>0.9611538461538462</x:v>
      </x:c>
      <x:c r="D17" s="5" t="n">
        <x:f>100*('Quarterly inputs'!C18/'Quarterly inputs'!C17-1)</x:f>
        <x:v>0.5411876609213273</x:v>
      </x:c>
      <x:c r="E17" s="5" t="n">
        <x:f>'Quarterly inputs'!E18</x:f>
        <x:v>-0.541546613664784</x:v>
      </x:c>
    </x:row>
    <x:row r="18" ht="21" customHeight="1">
      <x:c r="A18" s="1" t="str">
        <x:v>1980Q4</x:v>
      </x:c>
      <x:c r="B18" s="5" t="n">
        <x:f>100*('Quarterly inputs'!B19/'Quarterly inputs'!B18-1)</x:f>
        <x:v>1.8649233201466497</x:v>
      </x:c>
      <x:c r="C18" s="5" t="n">
        <x:f>'Quarterly inputs'!D19</x:f>
        <x:v>2.4114615384615385</x:v>
      </x:c>
      <x:c r="D18" s="5" t="n">
        <x:f>100*('Quarterly inputs'!C19/'Quarterly inputs'!C18-1)</x:f>
        <x:v>1.7067110335415858</x:v>
      </x:c>
      <x:c r="E18" s="5" t="n">
        <x:f>'Quarterly inputs'!E19</x:f>
        <x:v>-0.560256684992767</x:v>
      </x:c>
    </x:row>
    <x:row r="19" ht="21" customHeight="1">
      <x:c r="A19" s="1" t="str">
        <x:v>1981Q1</x:v>
      </x:c>
      <x:c r="B19" s="5" t="n">
        <x:f>100*('Quarterly inputs'!B20/'Quarterly inputs'!B19-1)</x:f>
        <x:v>1.9594222106853687</x:v>
      </x:c>
      <x:c r="C19" s="5" t="n">
        <x:f>'Quarterly inputs'!D20</x:f>
        <x:v>2.3892307692307693</x:v>
      </x:c>
      <x:c r="D19" s="5" t="n">
        <x:f>100*('Quarterly inputs'!C20/'Quarterly inputs'!C19-1)</x:f>
        <x:v>0.3875761787661691</x:v>
      </x:c>
      <x:c r="E19" s="5" t="n">
        <x:f>'Quarterly inputs'!E20</x:f>
        <x:v>-0.662040466170715</x:v>
      </x:c>
    </x:row>
    <x:row r="20" ht="21" customHeight="1">
      <x:c r="A20" s="1" t="str">
        <x:v>1981Q2</x:v>
      </x:c>
      <x:c r="B20" s="5" t="n">
        <x:f>100*('Quarterly inputs'!B21/'Quarterly inputs'!B20-1)</x:f>
        <x:v>-0.7410757067079277</x:v>
      </x:c>
      <x:c r="C20" s="5" t="n">
        <x:f>'Quarterly inputs'!D21</x:f>
        <x:v>2.424076923076923</x:v>
      </x:c>
      <x:c r="D20" s="5" t="n">
        <x:f>100*('Quarterly inputs'!C21/'Quarterly inputs'!C20-1)</x:f>
        <x:v>1.550709588092758</x:v>
      </x:c>
      <x:c r="E20" s="5" t="n">
        <x:f>'Quarterly inputs'!E21</x:f>
        <x:v>-0.721986382583122</x:v>
      </x:c>
    </x:row>
    <x:row r="21" ht="21" customHeight="1">
      <x:c r="A21" s="1" t="str">
        <x:v>1981Q3</x:v>
      </x:c>
      <x:c r="B21" s="5" t="n">
        <x:f>100*('Quarterly inputs'!B22/'Quarterly inputs'!B21-1)</x:f>
        <x:v>1.197502074963408</x:v>
      </x:c>
      <x:c r="C21" s="5" t="n">
        <x:f>'Quarterly inputs'!D22</x:f>
        <x:v>3.342461538461538</x:v>
      </x:c>
      <x:c r="D21" s="5" t="n">
        <x:f>100*('Quarterly inputs'!C22/'Quarterly inputs'!C21-1)</x:f>
        <x:v>2.0189095790704714</x:v>
      </x:c>
      <x:c r="E21" s="5" t="n">
        <x:f>'Quarterly inputs'!E22</x:f>
        <x:v>-0.349714525080875</x:v>
      </x:c>
    </x:row>
    <x:row r="22" ht="21" customHeight="1">
      <x:c r="A22" s="1" t="str">
        <x:v>1981Q4</x:v>
      </x:c>
      <x:c r="B22" s="5" t="n">
        <x:f>100*('Quarterly inputs'!B23/'Quarterly inputs'!B22-1)</x:f>
        <x:v>-1.0895967316235544</x:v>
      </x:c>
      <x:c r="C22" s="5" t="n">
        <x:f>'Quarterly inputs'!D23</x:f>
        <x:v>2.5391538461538463</x:v>
      </x:c>
      <x:c r="D22" s="5" t="n">
        <x:f>100*('Quarterly inputs'!C23/'Quarterly inputs'!C22-1)</x:f>
        <x:v>-0.41532380350249865</x:v>
      </x:c>
      <x:c r="E22" s="5" t="n">
        <x:f>'Quarterly inputs'!E23</x:f>
        <x:v>-0.347485551486287</x:v>
      </x:c>
    </x:row>
    <x:row r="23" ht="21" customHeight="1">
      <x:c r="A23" s="1" t="str">
        <x:v>1982Q1</x:v>
      </x:c>
      <x:c r="B23" s="5" t="n">
        <x:f>100*('Quarterly inputs'!B24/'Quarterly inputs'!B23-1)</x:f>
        <x:v>-1.5536446424985861</x:v>
      </x:c>
      <x:c r="C23" s="5" t="n">
        <x:f>'Quarterly inputs'!D24</x:f>
        <x:v>1.9943076923076921</x:v>
      </x:c>
      <x:c r="D23" s="5" t="n">
        <x:f>100*('Quarterly inputs'!C24/'Quarterly inputs'!C23-1)</x:f>
        <x:v>-0.7881737801888056</x:v>
      </x:c>
      <x:c r="E23" s="5" t="n">
        <x:f>'Quarterly inputs'!E24</x:f>
        <x:v>0.205965603023861</x:v>
      </x:c>
    </x:row>
    <x:row r="24" ht="21" customHeight="1">
      <x:c r="A24" s="1" t="str">
        <x:v>1982Q2</x:v>
      </x:c>
      <x:c r="B24" s="5" t="n">
        <x:f>100*('Quarterly inputs'!B25/'Quarterly inputs'!B24-1)</x:f>
        <x:v>0.45617712847594305</x:v>
      </x:c>
      <x:c r="C24" s="5" t="n">
        <x:f>'Quarterly inputs'!D25</x:f>
        <x:v>2.4702307692307692</x:v>
      </x:c>
      <x:c r="D24" s="5" t="n">
        <x:f>100*('Quarterly inputs'!C25/'Quarterly inputs'!C24-1)</x:f>
        <x:v>0.8839198385116376</x:v>
      </x:c>
      <x:c r="E24" s="5" t="n">
        <x:f>'Quarterly inputs'!E25</x:f>
        <x:v>0.286039344373024</x:v>
      </x:c>
    </x:row>
    <x:row r="25" ht="21" customHeight="1">
      <x:c r="A25" s="1" t="str">
        <x:v>1982Q3</x:v>
      </x:c>
      <x:c r="B25" s="5" t="n">
        <x:f>100*('Quarterly inputs'!B26/'Quarterly inputs'!B25-1)</x:f>
        <x:v>-0.3822668357868153</x:v>
      </x:c>
      <x:c r="C25" s="5" t="n">
        <x:f>'Quarterly inputs'!D26</x:f>
        <x:v>3.2131538461538462</x:v>
      </x:c>
      <x:c r="D25" s="5" t="n">
        <x:f>100*('Quarterly inputs'!C26/'Quarterly inputs'!C25-1)</x:f>
        <x:v>-0.661643743779361</x:v>
      </x:c>
      <x:c r="E25" s="5" t="n">
        <x:f>'Quarterly inputs'!E26</x:f>
        <x:v>0.317600196621539</x:v>
      </x:c>
    </x:row>
    <x:row r="26" ht="21" customHeight="1">
      <x:c r="A26" s="1" t="str">
        <x:v>1982Q4</x:v>
      </x:c>
      <x:c r="B26" s="5" t="n">
        <x:f>100*('Quarterly inputs'!B27/'Quarterly inputs'!B26-1)</x:f>
        <x:v>0.04000878796246443</x:v>
      </x:c>
      <x:c r="C26" s="5" t="n">
        <x:f>'Quarterly inputs'!D27</x:f>
        <x:v>1.668</x:v>
      </x:c>
      <x:c r="D26" s="5" t="n">
        <x:f>100*('Quarterly inputs'!C27/'Quarterly inputs'!C26-1)</x:f>
        <x:v>-1.611915194052782</x:v>
      </x:c>
      <x:c r="E26" s="5" t="n">
        <x:f>'Quarterly inputs'!E27</x:f>
        <x:v>0.391865110792546</x:v>
      </x:c>
    </x:row>
    <x:row r="27" ht="21" customHeight="1">
      <x:c r="A27" s="1" t="str">
        <x:v>1983Q1</x:v>
      </x:c>
      <x:c r="B27" s="5" t="n">
        <x:f>100*('Quarterly inputs'!B28/'Quarterly inputs'!B27-1)</x:f>
        <x:v>1.3177904101375981</x:v>
      </x:c>
      <x:c r="C27" s="5" t="n">
        <x:f>'Quarterly inputs'!D28</x:f>
        <x:v>0.1675</x:v>
      </x:c>
      <x:c r="D27" s="5" t="n">
        <x:f>100*('Quarterly inputs'!C28/'Quarterly inputs'!C27-1)</x:f>
        <x:v>-0.957667407122087</x:v>
      </x:c>
      <x:c r="E27" s="5" t="n">
        <x:f>'Quarterly inputs'!E28</x:f>
        <x:v>0.34348741701746</x:v>
      </x:c>
    </x:row>
    <x:row r="28" ht="21" customHeight="1">
      <x:c r="A28" s="1" t="str">
        <x:v>1983Q2</x:v>
      </x:c>
      <x:c r="B28" s="5" t="n">
        <x:f>100*('Quarterly inputs'!B29/'Quarterly inputs'!B28-1)</x:f>
        <x:v>2.2755202453599743</x:v>
      </x:c>
      <x:c r="C28" s="5" t="n">
        <x:f>'Quarterly inputs'!D29</x:f>
        <x:v>-0.12030769230769231</x:v>
      </x:c>
      <x:c r="D28" s="5" t="n">
        <x:f>100*('Quarterly inputs'!C29/'Quarterly inputs'!C28-1)</x:f>
        <x:v>-0.2099004837300522</x:v>
      </x:c>
      <x:c r="E28" s="5" t="n">
        <x:f>'Quarterly inputs'!E29</x:f>
        <x:v>0.0253167892934847</x:v>
      </x:c>
    </x:row>
    <x:row r="29" ht="21" customHeight="1">
      <x:c r="A29" s="1" t="str">
        <x:v>1983Q3</x:v>
      </x:c>
      <x:c r="B29" s="5" t="n">
        <x:f>100*('Quarterly inputs'!B30/'Quarterly inputs'!B29-1)</x:f>
        <x:v>1.9989546084432597</x:v>
      </x:c>
      <x:c r="C29" s="5" t="n">
        <x:f>'Quarterly inputs'!D30</x:f>
        <x:v>-0.09578571428571428</x:v>
      </x:c>
      <x:c r="D29" s="5" t="n">
        <x:f>100*('Quarterly inputs'!C30/'Quarterly inputs'!C29-1)</x:f>
        <x:v>2.783027429877105</x:v>
      </x:c>
      <x:c r="E29" s="5" t="n">
        <x:f>'Quarterly inputs'!E30</x:f>
        <x:v>-0.363948282819493</x:v>
      </x:c>
    </x:row>
    <x:row r="30" ht="21" customHeight="1">
      <x:c r="A30" s="1" t="str">
        <x:v>1983Q4</x:v>
      </x:c>
      <x:c r="B30" s="5" t="n">
        <x:f>100*('Quarterly inputs'!B31/'Quarterly inputs'!B30-1)</x:f>
        <x:v>2.0861826282885465</x:v>
      </x:c>
      <x:c r="C30" s="5" t="n">
        <x:f>'Quarterly inputs'!D31</x:f>
        <x:v>0.04907692307692308</x:v>
      </x:c>
      <x:c r="D30" s="5" t="n">
        <x:f>100*('Quarterly inputs'!C31/'Quarterly inputs'!C30-1)</x:f>
        <x:v>1.6787255813470292</x:v>
      </x:c>
      <x:c r="E30" s="5" t="n">
        <x:f>'Quarterly inputs'!E31</x:f>
        <x:v>-0.592932037899917</x:v>
      </x:c>
    </x:row>
    <x:row r="31" ht="21" customHeight="1">
      <x:c r="A31" s="1" t="str">
        <x:v>1984Q1</x:v>
      </x:c>
      <x:c r="B31" s="5" t="n">
        <x:f>100*('Quarterly inputs'!B32/'Quarterly inputs'!B31-1)</x:f>
        <x:v>1.9547903421914148</x:v>
      </x:c>
      <x:c r="C31" s="5" t="n">
        <x:f>'Quarterly inputs'!D32</x:f>
        <x:v>-0.11053846153846154</x:v>
      </x:c>
      <x:c r="D31" s="5" t="n">
        <x:f>100*('Quarterly inputs'!C32/'Quarterly inputs'!C31-1)</x:f>
        <x:v>2.45148371211541</x:v>
      </x:c>
      <x:c r="E31" s="5" t="n">
        <x:f>'Quarterly inputs'!E32</x:f>
        <x:v>-0.520820009990768</x:v>
      </x:c>
    </x:row>
    <x:row r="32" ht="21" customHeight="1">
      <x:c r="A32" s="1" t="str">
        <x:v>1984Q2</x:v>
      </x:c>
      <x:c r="B32" s="5" t="n">
        <x:f>100*('Quarterly inputs'!B33/'Quarterly inputs'!B32-1)</x:f>
        <x:v>1.72776158649941</x:v>
      </x:c>
      <x:c r="C32" s="5" t="n">
        <x:f>'Quarterly inputs'!D33</x:f>
        <x:v>0.7168461538461538</x:v>
      </x:c>
      <x:c r="D32" s="5" t="n">
        <x:f>100*('Quarterly inputs'!C33/'Quarterly inputs'!C32-1)</x:f>
        <x:v>1.1627559110082952</x:v>
      </x:c>
      <x:c r="E32" s="5" t="n">
        <x:f>'Quarterly inputs'!E33</x:f>
        <x:v>-0.351622344965834</x:v>
      </x:c>
    </x:row>
    <x:row r="33" ht="21" customHeight="1">
      <x:c r="A33" s="1" t="str">
        <x:v>1984Q3</x:v>
      </x:c>
      <x:c r="B33" s="5" t="n">
        <x:f>100*('Quarterly inputs'!B34/'Quarterly inputs'!B33-1)</x:f>
        <x:v>0.9640100468944812</x:v>
      </x:c>
      <x:c r="C33" s="5" t="n">
        <x:f>'Quarterly inputs'!D34</x:f>
        <x:v>0.7592307692307692</x:v>
      </x:c>
      <x:c r="D33" s="5" t="n">
        <x:f>100*('Quarterly inputs'!C34/'Quarterly inputs'!C33-1)</x:f>
        <x:v>0.9231603331854688</x:v>
      </x:c>
      <x:c r="E33" s="5" t="n">
        <x:f>'Quarterly inputs'!E34</x:f>
        <x:v>-0.546515233434831</x:v>
      </x:c>
    </x:row>
    <x:row r="34" ht="21" customHeight="1">
      <x:c r="A34" s="1" t="str">
        <x:v>1984Q4</x:v>
      </x:c>
      <x:c r="B34" s="5" t="n">
        <x:f>100*('Quarterly inputs'!B35/'Quarterly inputs'!B34-1)</x:f>
        <x:v>0.8207729448110435</x:v>
      </x:c>
      <x:c r="C34" s="5" t="n">
        <x:f>'Quarterly inputs'!D35</x:f>
        <x:v>-0.022384615384615388</x:v>
      </x:c>
      <x:c r="D34" s="5" t="n">
        <x:f>100*('Quarterly inputs'!C35/'Quarterly inputs'!C34-1)</x:f>
        <x:v>0.6031363088057962</x:v>
      </x:c>
      <x:c r="E34" s="5" t="n">
        <x:f>'Quarterly inputs'!E35</x:f>
        <x:v>-0.489101233761696</x:v>
      </x:c>
    </x:row>
    <x:row r="35" ht="21" customHeight="1">
      <x:c r="A35" s="1" t="str">
        <x:v>1985Q1</x:v>
      </x:c>
      <x:c r="B35" s="5" t="n">
        <x:f>100*('Quarterly inputs'!B36/'Quarterly inputs'!B35-1)</x:f>
        <x:v>0.9689792275400899</x:v>
      </x:c>
      <x:c r="C35" s="5" t="n">
        <x:f>'Quarterly inputs'!D36</x:f>
        <x:v>-0.33653846153846156</x:v>
      </x:c>
      <x:c r="D35" s="5" t="n">
        <x:f>100*('Quarterly inputs'!C36/'Quarterly inputs'!C35-1)</x:f>
        <x:v>1.4844804318488558</x:v>
      </x:c>
      <x:c r="E35" s="5" t="n">
        <x:f>'Quarterly inputs'!E36</x:f>
        <x:v>-0.526613664253169</x:v>
      </x:c>
    </x:row>
    <x:row r="36" ht="21" customHeight="1">
      <x:c r="A36" s="1" t="str">
        <x:v>1985Q2</x:v>
      </x:c>
      <x:c r="B36" s="5" t="n">
        <x:f>100*('Quarterly inputs'!B37/'Quarterly inputs'!B36-1)</x:f>
        <x:v>0.8804735728179081</x:v>
      </x:c>
      <x:c r="C36" s="5" t="n">
        <x:f>'Quarterly inputs'!D37</x:f>
        <x:v>-0.39261538461538464</x:v>
      </x:c>
      <x:c r="D36" s="5" t="n">
        <x:f>100*('Quarterly inputs'!C37/'Quarterly inputs'!C36-1)</x:f>
        <x:v>2.2386346242155186</x:v>
      </x:c>
      <x:c r="E36" s="5" t="n">
        <x:f>'Quarterly inputs'!E37</x:f>
        <x:v>-0.564330100861729</x:v>
      </x:c>
    </x:row>
    <x:row r="37" ht="21" customHeight="1">
      <x:c r="A37" s="1" t="str">
        <x:v>1985Q3</x:v>
      </x:c>
      <x:c r="B37" s="5" t="n">
        <x:f>100*('Quarterly inputs'!B38/'Quarterly inputs'!B37-1)</x:f>
        <x:v>1.5272714228687922</x:v>
      </x:c>
      <x:c r="C37" s="5" t="n">
        <x:f>'Quarterly inputs'!D38</x:f>
        <x:v>-0.23153846153846153</x:v>
      </x:c>
      <x:c r="D37" s="5" t="n">
        <x:f>100*('Quarterly inputs'!C38/'Quarterly inputs'!C37-1)</x:f>
        <x:v>1.2838267769584855</x:v>
      </x:c>
      <x:c r="E37" s="5" t="n">
        <x:f>'Quarterly inputs'!E38</x:f>
        <x:v>-0.620710420643997</x:v>
      </x:c>
    </x:row>
    <x:row r="38" ht="21" customHeight="1">
      <x:c r="A38" s="1" t="str">
        <x:v>1985Q4</x:v>
      </x:c>
      <x:c r="B38" s="5" t="n">
        <x:f>100*('Quarterly inputs'!B39/'Quarterly inputs'!B38-1)</x:f>
        <x:v>0.7434491447220193</x:v>
      </x:c>
      <x:c r="C38" s="5" t="n">
        <x:f>'Quarterly inputs'!D39</x:f>
        <x:v>-0.2803076923076923</x:v>
      </x:c>
      <x:c r="D38" s="5" t="n">
        <x:f>100*('Quarterly inputs'!C39/'Quarterly inputs'!C38-1)</x:f>
        <x:v>-0.2891722099039207</x:v>
      </x:c>
      <x:c r="E38" s="5" t="n">
        <x:f>'Quarterly inputs'!E39</x:f>
        <x:v>-0.48833675479394</x:v>
      </x:c>
    </x:row>
    <x:row r="39" ht="21" customHeight="1">
      <x:c r="A39" s="1" t="str">
        <x:v>1986Q1</x:v>
      </x:c>
      <x:c r="B39" s="5" t="n">
        <x:f>100*('Quarterly inputs'!B40/'Quarterly inputs'!B39-1)</x:f>
        <x:v>0.9337476298391323</x:v>
      </x:c>
      <x:c r="C39" s="5" t="n">
        <x:f>'Quarterly inputs'!D40</x:f>
        <x:v>-0.2811538461538462</x:v>
      </x:c>
      <x:c r="D39" s="5" t="n">
        <x:f>100*('Quarterly inputs'!C40/'Quarterly inputs'!C39-1)</x:f>
        <x:v>0.6930610505248902</x:v>
      </x:c>
      <x:c r="E39" s="5" t="n">
        <x:f>'Quarterly inputs'!E40</x:f>
        <x:v>-0.698618267720959</x:v>
      </x:c>
    </x:row>
    <x:row r="40" ht="21" customHeight="1">
      <x:c r="A40" s="1" t="str">
        <x:v>1986Q2</x:v>
      </x:c>
      <x:c r="B40" s="5" t="n">
        <x:f>100*('Quarterly inputs'!B41/'Quarterly inputs'!B40-1)</x:f>
        <x:v>0.4502963552820649</x:v>
      </x:c>
      <x:c r="C40" s="5" t="n">
        <x:f>'Quarterly inputs'!D41</x:f>
        <x:v>-0.43607692307692303</x:v>
      </x:c>
      <x:c r="D40" s="5" t="n">
        <x:f>100*('Quarterly inputs'!C41/'Quarterly inputs'!C40-1)</x:f>
        <x:v>-0.1803542673107894</x:v>
      </x:c>
      <x:c r="E40" s="5" t="n">
        <x:f>'Quarterly inputs'!E41</x:f>
        <x:v>-0.735485819030844</x:v>
      </x:c>
    </x:row>
    <x:row r="41" ht="21" customHeight="1">
      <x:c r="A41" s="1" t="str">
        <x:v>1986Q3</x:v>
      </x:c>
      <x:c r="B41" s="5" t="n">
        <x:f>100*('Quarterly inputs'!B42/'Quarterly inputs'!B41-1)</x:f>
        <x:v>0.9566680366350555</x:v>
      </x:c>
      <x:c r="C41" s="5" t="n">
        <x:f>'Quarterly inputs'!D42</x:f>
        <x:v>-0.5316923076923077</x:v>
      </x:c>
      <x:c r="D41" s="5" t="n">
        <x:f>100*('Quarterly inputs'!C42/'Quarterly inputs'!C41-1)</x:f>
        <x:v>0.26226274209755207</x:v>
      </x:c>
      <x:c r="E41" s="5" t="n">
        <x:f>'Quarterly inputs'!E42</x:f>
        <x:v>-0.516934674760875</x:v>
      </x:c>
    </x:row>
    <x:row r="42" ht="21" customHeight="1">
      <x:c r="A42" s="1" t="str">
        <x:v>1986Q4</x:v>
      </x:c>
      <x:c r="B42" s="5" t="n">
        <x:f>100*('Quarterly inputs'!B43/'Quarterly inputs'!B42-1)</x:f>
        <x:v>0.5363928796076722</x:v>
      </x:c>
      <x:c r="C42" s="5" t="n">
        <x:f>'Quarterly inputs'!D43</x:f>
        <x:v>-0.5375384615384615</x:v>
      </x:c>
      <x:c r="D42" s="5" t="n">
        <x:f>100*('Quarterly inputs'!C43/'Quarterly inputs'!C42-1)</x:f>
        <x:v>1.6388770129684982</x:v>
      </x:c>
      <x:c r="E42" s="5" t="n">
        <x:f>'Quarterly inputs'!E43</x:f>
        <x:v>-0.762401923053947</x:v>
      </x:c>
    </x:row>
    <x:row r="43" ht="21" customHeight="1">
      <x:c r="A43" s="1" t="str">
        <x:v>1987Q1</x:v>
      </x:c>
      <x:c r="B43" s="5" t="n">
        <x:f>100*('Quarterly inputs'!B44/'Quarterly inputs'!B43-1)</x:f>
        <x:v>0.7418449354178902</x:v>
      </x:c>
      <x:c r="C43" s="5" t="n">
        <x:f>'Quarterly inputs'!D44</x:f>
        <x:v>-0.42023076923076924</x:v>
      </x:c>
      <x:c r="D43" s="5" t="n">
        <x:f>100*('Quarterly inputs'!C44/'Quarterly inputs'!C43-1)</x:f>
        <x:v>1.005011488430152</x:v>
      </x:c>
      <x:c r="E43" s="5" t="n">
        <x:f>'Quarterly inputs'!E44</x:f>
        <x:v>-0.975750464041286</x:v>
      </x:c>
    </x:row>
    <x:row r="44" ht="21" customHeight="1">
      <x:c r="A44" s="1" t="str">
        <x:v>1987Q2</x:v>
      </x:c>
      <x:c r="B44" s="5" t="n">
        <x:f>100*('Quarterly inputs'!B45/'Quarterly inputs'!B44-1)</x:f>
        <x:v>1.0781776439800383</x:v>
      </x:c>
      <x:c r="C44" s="5" t="n">
        <x:f>'Quarterly inputs'!D45</x:f>
        <x:v>0.4110769230769231</x:v>
      </x:c>
      <x:c r="D44" s="5" t="n">
        <x:f>100*('Quarterly inputs'!C45/'Quarterly inputs'!C44-1)</x:f>
        <x:v>1.590585453666149</x:v>
      </x:c>
      <x:c r="E44" s="5" t="n">
        <x:f>'Quarterly inputs'!E45</x:f>
        <x:v>-1.11770254908297</x:v>
      </x:c>
    </x:row>
    <x:row r="45" ht="21" customHeight="1">
      <x:c r="A45" s="1" t="str">
        <x:v>1987Q3</x:v>
      </x:c>
      <x:c r="B45" s="5" t="n">
        <x:f>100*('Quarterly inputs'!B46/'Quarterly inputs'!B45-1)</x:f>
        <x:v>0.8671780251486849</x:v>
      </x:c>
      <x:c r="C45" s="5" t="n">
        <x:f>'Quarterly inputs'!D46</x:f>
        <x:v>0.16938461538461538</x:v>
      </x:c>
      <x:c r="D45" s="5" t="n">
        <x:f>100*('Quarterly inputs'!C46/'Quarterly inputs'!C45-1)</x:f>
        <x:v>1.8028263380145182</x:v>
      </x:c>
      <x:c r="E45" s="5" t="n">
        <x:f>'Quarterly inputs'!E46</x:f>
        <x:v>-1.74116211549885</x:v>
      </x:c>
    </x:row>
    <x:row r="46" ht="21" customHeight="1">
      <x:c r="A46" s="1" t="str">
        <x:v>1987Q4</x:v>
      </x:c>
      <x:c r="B46" s="5" t="n">
        <x:f>100*('Quarterly inputs'!B47/'Quarterly inputs'!B46-1)</x:f>
        <x:v>1.7169568645530875</x:v>
      </x:c>
      <x:c r="C46" s="5" t="n">
        <x:f>'Quarterly inputs'!D47</x:f>
        <x:v>0.9900769230769231</x:v>
      </x:c>
      <x:c r="D46" s="5" t="n">
        <x:f>100*('Quarterly inputs'!C47/'Quarterly inputs'!C46-1)</x:f>
        <x:v>2.010772614697176</x:v>
      </x:c>
      <x:c r="E46" s="5" t="n">
        <x:f>'Quarterly inputs'!E47</x:f>
        <x:v>-0.665057732352857</x:v>
      </x:c>
    </x:row>
    <x:row r="47" ht="21" customHeight="1">
      <x:c r="A47" s="1" t="str">
        <x:v>1988Q1</x:v>
      </x:c>
      <x:c r="B47" s="5" t="n">
        <x:f>100*('Quarterly inputs'!B48/'Quarterly inputs'!B47-1)</x:f>
        <x:v>0.5168825405082789</x:v>
      </x:c>
      <x:c r="C47" s="5" t="n">
        <x:f>'Quarterly inputs'!D48</x:f>
        <x:v>0.3126923076923077</x:v>
      </x:c>
      <x:c r="D47" s="5" t="n">
        <x:f>100*('Quarterly inputs'!C48/'Quarterly inputs'!C47-1)</x:f>
        <x:v>0.4286926994906626</x:v>
      </x:c>
      <x:c r="E47" s="5" t="n">
        <x:f>'Quarterly inputs'!E48</x:f>
        <x:v>-1.03646963925617</x:v>
      </x:c>
    </x:row>
    <x:row r="48" ht="21" customHeight="1">
      <x:c r="A48" s="1" t="str">
        <x:v>1988Q2</x:v>
      </x:c>
      <x:c r="B48" s="5" t="n">
        <x:f>100*('Quarterly inputs'!B49/'Quarterly inputs'!B48-1)</x:f>
        <x:v>1.3140322788294911</x:v>
      </x:c>
      <x:c r="C48" s="5" t="n">
        <x:f>'Quarterly inputs'!D49</x:f>
        <x:v>0.24746153846153846</x:v>
      </x:c>
      <x:c r="D48" s="5" t="n">
        <x:f>100*('Quarterly inputs'!C49/'Quarterly inputs'!C48-1)</x:f>
        <x:v>0.097206373356995</x:v>
      </x:c>
      <x:c r="E48" s="5" t="n">
        <x:f>'Quarterly inputs'!E49</x:f>
        <x:v>-1.26539153657579</x:v>
      </x:c>
    </x:row>
    <x:row r="49" ht="21" customHeight="1">
      <x:c r="A49" s="1" t="str">
        <x:v>1988Q3</x:v>
      </x:c>
      <x:c r="B49" s="5" t="n">
        <x:f>100*('Quarterly inputs'!B50/'Quarterly inputs'!B49-1)</x:f>
        <x:v>0.5859696453140995</x:v>
      </x:c>
      <x:c r="C49" s="5" t="n">
        <x:f>'Quarterly inputs'!D50</x:f>
        <x:v>0.372</x:v>
      </x:c>
      <x:c r="D49" s="5" t="n">
        <x:f>100*('Quarterly inputs'!C50/'Quarterly inputs'!C49-1)</x:f>
        <x:v>0.8039182570511727</x:v>
      </x:c>
      <x:c r="E49" s="5" t="n">
        <x:f>'Quarterly inputs'!E50</x:f>
        <x:v>-1.1976474458899</x:v>
      </x:c>
    </x:row>
    <x:row r="50" ht="21" customHeight="1">
      <x:c r="A50" s="1" t="str">
        <x:v>1988Q4</x:v>
      </x:c>
      <x:c r="B50" s="5" t="n">
        <x:f>100*('Quarterly inputs'!B51/'Quarterly inputs'!B50-1)</x:f>
        <x:v>1.332456056364184</x:v>
      </x:c>
      <x:c r="C50" s="5" t="n">
        <x:f>'Quarterly inputs'!D51</x:f>
        <x:v>0.17330769230769233</x:v>
      </x:c>
      <x:c r="D50" s="5" t="n">
        <x:f>100*('Quarterly inputs'!C51/'Quarterly inputs'!C50-1)</x:f>
        <x:v>1.6310357537780984</x:v>
      </x:c>
      <x:c r="E50" s="5" t="n">
        <x:f>'Quarterly inputs'!E51</x:f>
        <x:v>-0.961842258137953</x:v>
      </x:c>
    </x:row>
    <x:row r="51" ht="21" customHeight="1">
      <x:c r="A51" s="1" t="str">
        <x:v>1989Q1</x:v>
      </x:c>
      <x:c r="B51" s="5" t="n">
        <x:f>100*('Quarterly inputs'!B52/'Quarterly inputs'!B51-1)</x:f>
        <x:v>1.016394950898869</x:v>
      </x:c>
      <x:c r="C51" s="5" t="n">
        <x:f>'Quarterly inputs'!D52</x:f>
        <x:v>0.3852307692307692</x:v>
      </x:c>
      <x:c r="D51" s="5" t="n">
        <x:f>100*('Quarterly inputs'!C52/'Quarterly inputs'!C51-1)</x:f>
        <x:v>0.9343136689224263</x:v>
      </x:c>
      <x:c r="E51" s="5" t="n">
        <x:f>'Quarterly inputs'!E52</x:f>
        <x:v>-0.762231733435228</x:v>
      </x:c>
    </x:row>
    <x:row r="52" ht="21" customHeight="1">
      <x:c r="A52" s="1" t="str">
        <x:v>1989Q2</x:v>
      </x:c>
      <x:c r="B52" s="5" t="n">
        <x:f>100*('Quarterly inputs'!B53/'Quarterly inputs'!B52-1)</x:f>
        <x:v>0.7630996574299775</x:v>
      </x:c>
      <x:c r="C52" s="5" t="n">
        <x:f>'Quarterly inputs'!D53</x:f>
        <x:v>0.4616923076923077</x:v>
      </x:c>
      <x:c r="D52" s="5" t="n">
        <x:f>100*('Quarterly inputs'!C53/'Quarterly inputs'!C52-1)</x:f>
        <x:v>2.154304730405676</x:v>
      </x:c>
      <x:c r="E52" s="5" t="n">
        <x:f>'Quarterly inputs'!E53</x:f>
        <x:v>-0.540881864815661</x:v>
      </x:c>
    </x:row>
    <x:row r="53" ht="21" customHeight="1">
      <x:c r="A53" s="1" t="str">
        <x:v>1989Q3</x:v>
      </x:c>
      <x:c r="B53" s="5" t="n">
        <x:f>100*('Quarterly inputs'!B54/'Quarterly inputs'!B53-1)</x:f>
        <x:v>0.7407356250722863</x:v>
      </x:c>
      <x:c r="C53" s="5" t="n">
        <x:f>'Quarterly inputs'!D54</x:f>
        <x:v>0.2651538461538462</x:v>
      </x:c>
      <x:c r="D53" s="5" t="n">
        <x:f>100*('Quarterly inputs'!C54/'Quarterly inputs'!C53-1)</x:f>
        <x:v>0.8545812831509902</x:v>
      </x:c>
      <x:c r="E53" s="5" t="n">
        <x:f>'Quarterly inputs'!E54</x:f>
        <x:v>-0.528431554861453</x:v>
      </x:c>
    </x:row>
    <x:row r="54" ht="21" customHeight="1">
      <x:c r="A54" s="1" t="str">
        <x:v>1989Q4</x:v>
      </x:c>
      <x:c r="B54" s="5" t="n">
        <x:f>100*('Quarterly inputs'!B55/'Quarterly inputs'!B54-1)</x:f>
        <x:v>0.19698105538052957</x:v>
      </x:c>
      <x:c r="C54" s="5" t="n">
        <x:f>'Quarterly inputs'!D55</x:f>
        <x:v>0.17707692307692308</x:v>
      </x:c>
      <x:c r="D54" s="5" t="n">
        <x:f>100*('Quarterly inputs'!C55/'Quarterly inputs'!C54-1)</x:f>
        <x:v>-0.2691037932141427</x:v>
      </x:c>
      <x:c r="E54" s="5" t="n">
        <x:f>'Quarterly inputs'!E55</x:f>
        <x:v>-0.243151602730158</x:v>
      </x:c>
    </x:row>
    <x:row r="55" ht="21" customHeight="1">
      <x:c r="A55" s="1" t="str">
        <x:v>1990Q1</x:v>
      </x:c>
      <x:c r="B55" s="5" t="n">
        <x:f>100*('Quarterly inputs'!B56/'Quarterly inputs'!B55-1)</x:f>
        <x:v>1.0928820446238552</x:v>
      </x:c>
      <x:c r="C55" s="5" t="n">
        <x:f>'Quarterly inputs'!D56</x:f>
        <x:v>0.05830769230769231</x:v>
      </x:c>
      <x:c r="D55" s="5" t="n">
        <x:f>100*('Quarterly inputs'!C56/'Quarterly inputs'!C55-1)</x:f>
        <x:v>0.7534573199809325</x:v>
      </x:c>
      <x:c r="E55" s="5" t="n">
        <x:f>'Quarterly inputs'!E56</x:f>
        <x:v>0.0503770863331034</x:v>
      </x:c>
    </x:row>
    <x:row r="56" ht="21" customHeight="1">
      <x:c r="A56" s="1" t="str">
        <x:v>1990Q2</x:v>
      </x:c>
      <x:c r="B56" s="5" t="n">
        <x:f>100*('Quarterly inputs'!B57/'Quarterly inputs'!B56-1)</x:f>
        <x:v>0.36297003021481533</x:v>
      </x:c>
      <x:c r="C56" s="5" t="n">
        <x:f>'Quarterly inputs'!D57</x:f>
        <x:v>0.006153846153846157</x:v>
      </x:c>
      <x:c r="D56" s="5" t="n">
        <x:f>100*('Quarterly inputs'!C57/'Quarterly inputs'!C56-1)</x:f>
        <x:v>0.12897576675501288</x:v>
      </x:c>
      <x:c r="E56" s="5" t="n">
        <x:f>'Quarterly inputs'!E57</x:f>
        <x:v>0.303552524093667</x:v>
      </x:c>
    </x:row>
    <x:row r="57" ht="21" customHeight="1">
      <x:c r="A57" s="1" t="str">
        <x:v>1990Q3</x:v>
      </x:c>
      <x:c r="B57" s="5" t="n">
        <x:f>100*('Quarterly inputs'!B58/'Quarterly inputs'!B57-1)</x:f>
        <x:v>0.06658167932800385</x:v>
      </x:c>
      <x:c r="C57" s="5" t="n">
        <x:f>'Quarterly inputs'!D58</x:f>
        <x:v>0.09046153846153845</x:v>
      </x:c>
      <x:c r="D57" s="5" t="n">
        <x:f>100*('Quarterly inputs'!C58/'Quarterly inputs'!C57-1)</x:f>
        <x:v>-0.5172081004321205</x:v>
      </x:c>
      <x:c r="E57" s="5" t="n">
        <x:f>'Quarterly inputs'!E58</x:f>
        <x:v>0.603506532775112</x:v>
      </x:c>
    </x:row>
    <x:row r="58" ht="21" customHeight="1">
      <x:c r="A58" s="1" t="str">
        <x:v>1990Q4</x:v>
      </x:c>
      <x:c r="B58" s="5" t="n">
        <x:f>100*('Quarterly inputs'!B59/'Quarterly inputs'!B58-1)</x:f>
        <x:v>-0.9104045569679919</x:v>
      </x:c>
      <x:c r="C58" s="5" t="n">
        <x:f>'Quarterly inputs'!D59</x:f>
        <x:v>0.4683076923076923</x:v>
      </x:c>
      <x:c r="D58" s="5" t="n">
        <x:f>100*('Quarterly inputs'!C59/'Quarterly inputs'!C58-1)</x:f>
        <x:v>0.5507820233617178</x:v>
      </x:c>
      <x:c r="E58" s="5" t="n">
        <x:f>'Quarterly inputs'!E59</x:f>
        <x:v>0.998052539151301</x:v>
      </x:c>
    </x:row>
    <x:row r="59" ht="21" customHeight="1">
      <x:c r="A59" s="1" t="str">
        <x:v>1991Q1</x:v>
      </x:c>
      <x:c r="B59" s="5" t="n">
        <x:f>100*('Quarterly inputs'!B60/'Quarterly inputs'!B59-1)</x:f>
        <x:v>-0.4679406451076118</x:v>
      </x:c>
      <x:c r="C59" s="5" t="n">
        <x:f>'Quarterly inputs'!D60</x:f>
        <x:v>0.18469230769230768</x:v>
      </x:c>
      <x:c r="D59" s="5" t="n">
        <x:f>100*('Quarterly inputs'!C60/'Quarterly inputs'!C59-1)</x:f>
        <x:v>-1.253440759861546</x:v>
      </x:c>
      <x:c r="E59" s="5" t="n">
        <x:f>'Quarterly inputs'!E60</x:f>
        <x:v>0.988044191260695</x:v>
      </x:c>
    </x:row>
    <x:row r="60" ht="21" customHeight="1">
      <x:c r="A60" s="1" t="str">
        <x:v>1991Q2</x:v>
      </x:c>
      <x:c r="B60" s="5" t="n">
        <x:f>100*('Quarterly inputs'!B61/'Quarterly inputs'!B60-1)</x:f>
        <x:v>0.7796890568610104</x:v>
      </x:c>
      <x:c r="C60" s="5" t="n">
        <x:f>'Quarterly inputs'!D61</x:f>
        <x:v>-0.23176923076923076</x:v>
      </x:c>
      <x:c r="D60" s="5" t="n">
        <x:f>100*('Quarterly inputs'!C61/'Quarterly inputs'!C60-1)</x:f>
        <x:v>-0.21494827682466688</x:v>
      </x:c>
      <x:c r="E60" s="5" t="n">
        <x:f>'Quarterly inputs'!E61</x:f>
        <x:v>0.942794648106913</x:v>
      </x:c>
    </x:row>
    <x:row r="61" ht="21" customHeight="1">
      <x:c r="A61" s="1" t="str">
        <x:v>1991Q3</x:v>
      </x:c>
      <x:c r="B61" s="5" t="n">
        <x:f>100*('Quarterly inputs'!B62/'Quarterly inputs'!B61-1)</x:f>
        <x:v>0.5053586865160886</x:v>
      </x:c>
      <x:c r="C61" s="5" t="n">
        <x:f>'Quarterly inputs'!D62</x:f>
        <x:v>-0.47215384615384615</x:v>
      </x:c>
      <x:c r="D61" s="5" t="n">
        <x:f>100*('Quarterly inputs'!C62/'Quarterly inputs'!C61-1)</x:f>
        <x:v>0.4627945919374543</x:v>
      </x:c>
      <x:c r="E61" s="5" t="n">
        <x:f>'Quarterly inputs'!E62</x:f>
        <x:v>0.926203662534873</x:v>
      </x:c>
    </x:row>
    <x:row r="62" ht="21" customHeight="1">
      <x:c r="A62" s="1" t="str">
        <x:v>1991Q4</x:v>
      </x:c>
      <x:c r="B62" s="5" t="n">
        <x:f>100*('Quarterly inputs'!B63/'Quarterly inputs'!B62-1)</x:f>
        <x:v>0.34854484461859236</x:v>
      </x:c>
      <x:c r="C62" s="5" t="n">
        <x:f>'Quarterly inputs'!D63</x:f>
        <x:v>-0.6098461538461538</x:v>
      </x:c>
      <x:c r="D62" s="5" t="n">
        <x:f>100*('Quarterly inputs'!C63/'Quarterly inputs'!C62-1)</x:f>
        <x:v>0.0652406544751516</x:v>
      </x:c>
      <x:c r="E62" s="5" t="n">
        <x:f>'Quarterly inputs'!E63</x:f>
        <x:v>0.889225736730189</x:v>
      </x:c>
    </x:row>
    <x:row r="63" ht="21" customHeight="1">
      <x:c r="A63" s="1" t="str">
        <x:v>1992Q1</x:v>
      </x:c>
      <x:c r="B63" s="5" t="n">
        <x:f>100*('Quarterly inputs'!B64/'Quarterly inputs'!B63-1)</x:f>
        <x:v>1.1972522099874316</x:v>
      </x:c>
      <x:c r="C63" s="5" t="n">
        <x:f>'Quarterly inputs'!D64</x:f>
        <x:v>-0.6603076923076923</x:v>
      </x:c>
      <x:c r="D63" s="5" t="n">
        <x:f>100*('Quarterly inputs'!C64/'Quarterly inputs'!C63-1)</x:f>
        <x:v>0.7974843067332982</x:v>
      </x:c>
      <x:c r="E63" s="5" t="n">
        <x:f>'Quarterly inputs'!E64</x:f>
        <x:v>0.961398459401911</x:v>
      </x:c>
    </x:row>
    <x:row r="64" ht="21" customHeight="1">
      <x:c r="A64" s="1" t="str">
        <x:v>1992Q2</x:v>
      </x:c>
      <x:c r="B64" s="5" t="n">
        <x:f>100*('Quarterly inputs'!B65/'Quarterly inputs'!B64-1)</x:f>
        <x:v>1.0843032755055937</x:v>
      </x:c>
      <x:c r="C64" s="5" t="n">
        <x:f>'Quarterly inputs'!D65</x:f>
        <x:v>-0.815076923076923</x:v>
      </x:c>
      <x:c r="D64" s="5" t="n">
        <x:f>100*('Quarterly inputs'!C65/'Quarterly inputs'!C64-1)</x:f>
        <x:v>0.7174212276224834</x:v>
      </x:c>
      <x:c r="E64" s="5" t="n">
        <x:f>'Quarterly inputs'!E65</x:f>
        <x:v>0.86577847599036</x:v>
      </x:c>
    </x:row>
    <x:row r="65" ht="21" customHeight="1">
      <x:c r="A65" s="1" t="str">
        <x:v>1992Q3</x:v>
      </x:c>
      <x:c r="B65" s="5" t="n">
        <x:f>100*('Quarterly inputs'!B66/'Quarterly inputs'!B65-1)</x:f>
        <x:v>0.9881101865980568</x:v>
      </x:c>
      <x:c r="C65" s="5" t="n">
        <x:f>'Quarterly inputs'!D66</x:f>
        <x:v>-0.8997692307692309</x:v>
      </x:c>
      <x:c r="D65" s="5" t="n">
        <x:f>100*('Quarterly inputs'!C66/'Quarterly inputs'!C65-1)</x:f>
        <x:v>0.9735046952217496</x:v>
      </x:c>
      <x:c r="E65" s="5" t="n">
        <x:f>'Quarterly inputs'!E66</x:f>
        <x:v>1.0658605978499</x:v>
      </x:c>
    </x:row>
    <x:row r="66" ht="21" customHeight="1">
      <x:c r="A66" s="1" t="str">
        <x:v>1992Q4</x:v>
      </x:c>
      <x:c r="B66" s="5" t="n">
        <x:f>100*('Quarterly inputs'!B67/'Quarterly inputs'!B66-1)</x:f>
        <x:v>1.0428555994048683</x:v>
      </x:c>
      <x:c r="C66" s="5" t="n">
        <x:f>'Quarterly inputs'!D67</x:f>
        <x:v>-0.7471538461538461</x:v>
      </x:c>
      <x:c r="D66" s="5" t="n">
        <x:f>100*('Quarterly inputs'!C67/'Quarterly inputs'!C66-1)</x:f>
        <x:v>2.0938367745838793</x:v>
      </x:c>
      <x:c r="E66" s="5" t="n">
        <x:f>'Quarterly inputs'!E67</x:f>
        <x:v>0.99917403803161</x:v>
      </x:c>
    </x:row>
    <x:row r="67" ht="21" customHeight="1">
      <x:c r="A67" s="1" t="str">
        <x:v>1993Q1</x:v>
      </x:c>
      <x:c r="B67" s="5" t="n">
        <x:f>100*('Quarterly inputs'!B68/'Quarterly inputs'!B67-1)</x:f>
        <x:v>0.16694372234020705</x:v>
      </x:c>
      <x:c r="C67" s="5" t="n">
        <x:f>'Quarterly inputs'!D68</x:f>
        <x:v>-0.9516153846153846</x:v>
      </x:c>
      <x:c r="D67" s="5" t="n">
        <x:f>100*('Quarterly inputs'!C68/'Quarterly inputs'!C67-1)</x:f>
        <x:v>0.695154054495517</x:v>
      </x:c>
      <x:c r="E67" s="5" t="n">
        <x:f>'Quarterly inputs'!E68</x:f>
        <x:v>0.759011890868017</x:v>
      </x:c>
    </x:row>
    <x:row r="68" ht="21" customHeight="1">
      <x:c r="A68" s="1" t="str">
        <x:v>1993Q2</x:v>
      </x:c>
      <x:c r="B68" s="5" t="n">
        <x:f>100*('Quarterly inputs'!B69/'Quarterly inputs'!B68-1)</x:f>
        <x:v>0.5821709439287392</x:v>
      </x:c>
      <x:c r="C68" s="5" t="n">
        <x:f>'Quarterly inputs'!D69</x:f>
        <x:v>-0.9907692307692307</x:v>
      </x:c>
      <x:c r="D68" s="5" t="n">
        <x:f>100*('Quarterly inputs'!C69/'Quarterly inputs'!C68-1)</x:f>
        <x:v>0.5666192597734376</x:v>
      </x:c>
      <x:c r="E68" s="5" t="n">
        <x:f>'Quarterly inputs'!E69</x:f>
        <x:v>0.667318035651069</x:v>
      </x:c>
    </x:row>
    <x:row r="69" ht="21" customHeight="1">
      <x:c r="A69" s="1" t="str">
        <x:v>1993Q3</x:v>
      </x:c>
      <x:c r="B69" s="5" t="n">
        <x:f>100*('Quarterly inputs'!B70/'Quarterly inputs'!B69-1)</x:f>
        <x:v>0.477154822775705</x:v>
      </x:c>
      <x:c r="C69" s="5" t="n">
        <x:f>'Quarterly inputs'!D70</x:f>
        <x:v>-1.075</x:v>
      </x:c>
      <x:c r="D69" s="5" t="n">
        <x:f>100*('Quarterly inputs'!C70/'Quarterly inputs'!C69-1)</x:f>
        <x:v>0.12078789720275651</x:v>
      </x:c>
      <x:c r="E69" s="5" t="n">
        <x:f>'Quarterly inputs'!E70</x:f>
        <x:v>0.312218172686155</x:v>
      </x:c>
    </x:row>
    <x:row r="70" ht="21" customHeight="1">
      <x:c r="A70" s="1" t="str">
        <x:v>1993Q4</x:v>
      </x:c>
      <x:c r="B70" s="5" t="n">
        <x:f>100*('Quarterly inputs'!B71/'Quarterly inputs'!B70-1)</x:f>
        <x:v>1.360149302911906</x:v>
      </x:c>
      <x:c r="C70" s="5" t="n">
        <x:f>'Quarterly inputs'!D71</x:f>
        <x:v>-0.9738571428571429</x:v>
      </x:c>
      <x:c r="D70" s="5" t="n">
        <x:f>100*('Quarterly inputs'!C71/'Quarterly inputs'!C70-1)</x:f>
        <x:v>1.8358592008392405</x:v>
      </x:c>
      <x:c r="E70" s="5" t="n">
        <x:f>'Quarterly inputs'!E71</x:f>
        <x:v>0.128949798297801</x:v>
      </x:c>
    </x:row>
    <x:row r="71" ht="21" customHeight="1">
      <x:c r="A71" s="1" t="str">
        <x:v>1994Q1</x:v>
      </x:c>
      <x:c r="B71" s="5" t="n">
        <x:f>100*('Quarterly inputs'!B72/'Quarterly inputs'!B71-1)</x:f>
        <x:v>0.9703629882517051</x:v>
      </x:c>
      <x:c r="C71" s="5" t="n">
        <x:f>'Quarterly inputs'!D72</x:f>
        <x:v>-0.9369999999999999</x:v>
      </x:c>
      <x:c r="D71" s="5" t="n">
        <x:f>100*('Quarterly inputs'!C72/'Quarterly inputs'!C71-1)</x:f>
        <x:v>1.6670039182502094</x:v>
      </x:c>
      <x:c r="E71" s="5" t="n">
        <x:f>'Quarterly inputs'!E72</x:f>
        <x:v>-0.0171239006910905</x:v>
      </x:c>
    </x:row>
    <x:row r="72" ht="21" customHeight="1">
      <x:c r="A72" s="1" t="str">
        <x:v>1994Q2</x:v>
      </x:c>
      <x:c r="B72" s="5" t="n">
        <x:f>100*('Quarterly inputs'!B73/'Quarterly inputs'!B72-1)</x:f>
        <x:v>1.355182630845131</x:v>
      </x:c>
      <x:c r="C72" s="5" t="n">
        <x:f>'Quarterly inputs'!D73</x:f>
        <x:v>-0.7249999999999999</x:v>
      </x:c>
      <x:c r="D72" s="5" t="n">
        <x:f>100*('Quarterly inputs'!C73/'Quarterly inputs'!C72-1)</x:f>
        <x:v>1.185151409877827</x:v>
      </x:c>
      <x:c r="E72" s="5" t="n">
        <x:f>'Quarterly inputs'!E73</x:f>
        <x:v>0.118951476160184</x:v>
      </x:c>
    </x:row>
    <x:row r="73" ht="21" customHeight="1">
      <x:c r="A73" s="1" t="str">
        <x:v>1994Q3</x:v>
      </x:c>
      <x:c r="B73" s="5" t="n">
        <x:f>100*('Quarterly inputs'!B74/'Quarterly inputs'!B73-1)</x:f>
        <x:v>0.5845845553328566</x:v>
      </x:c>
      <x:c r="C73" s="5" t="n">
        <x:f>'Quarterly inputs'!D74</x:f>
        <x:v>-0.7602142857142857</x:v>
      </x:c>
      <x:c r="D73" s="5" t="n">
        <x:f>100*('Quarterly inputs'!C74/'Quarterly inputs'!C73-1)</x:f>
        <x:v>0.7542621713737985</x:v>
      </x:c>
      <x:c r="E73" s="5" t="n">
        <x:f>'Quarterly inputs'!E74</x:f>
        <x:v>0.122656623416673</x:v>
      </x:c>
    </x:row>
    <x:row r="74" ht="21" customHeight="1">
      <x:c r="A74" s="1" t="str">
        <x:v>1994Q4</x:v>
      </x:c>
      <x:c r="B74" s="5" t="n">
        <x:f>100*('Quarterly inputs'!B75/'Quarterly inputs'!B74-1)</x:f>
        <x:v>1.1455701559946796</x:v>
      </x:c>
      <x:c r="C74" s="5" t="n">
        <x:f>'Quarterly inputs'!D75</x:f>
        <x:v>-0.5265384615384615</x:v>
      </x:c>
      <x:c r="D74" s="5" t="n">
        <x:f>100*('Quarterly inputs'!C75/'Quarterly inputs'!C74-1)</x:f>
        <x:v>1.1259406502910796</x:v>
      </x:c>
      <x:c r="E74" s="5" t="n">
        <x:f>'Quarterly inputs'!E75</x:f>
        <x:v>0.230209700051587</x:v>
      </x:c>
    </x:row>
    <x:row r="75" ht="21" customHeight="1">
      <x:c r="A75" s="1" t="str">
        <x:v>1995Q1</x:v>
      </x:c>
      <x:c r="B75" s="5" t="n">
        <x:f>100*('Quarterly inputs'!B76/'Quarterly inputs'!B75-1)</x:f>
        <x:v>0.3547805075420518</x:v>
      </x:c>
      <x:c r="C75" s="5" t="n">
        <x:f>'Quarterly inputs'!D76</x:f>
        <x:v>-0.5656153846153846</x:v>
      </x:c>
      <x:c r="D75" s="5" t="n">
        <x:f>100*('Quarterly inputs'!C76/'Quarterly inputs'!C75-1)</x:f>
        <x:v>-0.09056063350322274</x:v>
      </x:c>
      <x:c r="E75" s="5" t="n">
        <x:f>'Quarterly inputs'!E76</x:f>
        <x:v>0.18765796190476</x:v>
      </x:c>
    </x:row>
    <x:row r="76" ht="21" customHeight="1">
      <x:c r="A76" s="1" t="str">
        <x:v>1995Q2</x:v>
      </x:c>
      <x:c r="B76" s="5" t="n">
        <x:f>100*('Quarterly inputs'!B77/'Quarterly inputs'!B76-1)</x:f>
        <x:v>0.298322846097121</x:v>
      </x:c>
      <x:c r="C76" s="5" t="n">
        <x:f>'Quarterly inputs'!D77</x:f>
        <x:v>-0.6827692307692307</x:v>
      </x:c>
      <x:c r="D76" s="5" t="n">
        <x:f>100*('Quarterly inputs'!C77/'Quarterly inputs'!C76-1)</x:f>
        <x:v>0.4778065867043324</x:v>
      </x:c>
      <x:c r="E76" s="5" t="n">
        <x:f>'Quarterly inputs'!E77</x:f>
        <x:v>0.12830922835243</x:v>
      </x:c>
    </x:row>
    <x:row r="77" ht="21" customHeight="1">
      <x:c r="A77" s="1" t="str">
        <x:v>1995Q3</x:v>
      </x:c>
      <x:c r="B77" s="5" t="n">
        <x:f>100*('Quarterly inputs'!B78/'Quarterly inputs'!B77-1)</x:f>
        <x:v>0.8507255022384363</x:v>
      </x:c>
      <x:c r="C77" s="5" t="n">
        <x:f>'Quarterly inputs'!D78</x:f>
        <x:v>-0.6939230769230769</x:v>
      </x:c>
      <x:c r="D77" s="5" t="n">
        <x:f>100*('Quarterly inputs'!C78/'Quarterly inputs'!C77-1)</x:f>
        <x:v>2.2892088645216413</x:v>
      </x:c>
      <x:c r="E77" s="5" t="n">
        <x:f>'Quarterly inputs'!E78</x:f>
        <x:v>0.0924269149844543</x:v>
      </x:c>
    </x:row>
    <x:row r="78" ht="21" customHeight="1">
      <x:c r="A78" s="1" t="str">
        <x:v>1995Q4</x:v>
      </x:c>
      <x:c r="B78" s="5" t="n">
        <x:f>100*('Quarterly inputs'!B79/'Quarterly inputs'!B78-1)</x:f>
        <x:v>0.6790820510536255</x:v>
      </x:c>
      <x:c r="C78" s="5" t="n">
        <x:f>'Quarterly inputs'!D79</x:f>
        <x:v>-0.7315384615384615</x:v>
      </x:c>
      <x:c r="D78" s="5" t="n">
        <x:f>100*('Quarterly inputs'!C79/'Quarterly inputs'!C78-1)</x:f>
        <x:v>0.024611934737350794</x:v>
      </x:c>
      <x:c r="E78" s="5" t="n">
        <x:f>'Quarterly inputs'!E79</x:f>
        <x:v>0.0832763210779438</x:v>
      </x:c>
    </x:row>
    <x:row r="79" ht="21" customHeight="1">
      <x:c r="A79" s="1" t="str">
        <x:v>1996Q1</x:v>
      </x:c>
      <x:c r="B79" s="5" t="n">
        <x:f>100*('Quarterly inputs'!B80/'Quarterly inputs'!B79-1)</x:f>
        <x:v>0.7490501226268043</x:v>
      </x:c>
      <x:c r="C79" s="5" t="n">
        <x:f>'Quarterly inputs'!D80</x:f>
        <x:v>-0.782</x:v>
      </x:c>
      <x:c r="D79" s="5" t="n">
        <x:f>100*('Quarterly inputs'!C80/'Quarterly inputs'!C79-1)</x:f>
        <x:v>1.5235139928847952</x:v>
      </x:c>
      <x:c r="E79" s="5" t="n">
        <x:f>'Quarterly inputs'!E80</x:f>
        <x:v>0.138498590632606</x:v>
      </x:c>
    </x:row>
    <x:row r="80" ht="21" customHeight="1">
      <x:c r="A80" s="1" t="str">
        <x:v>1996Q2</x:v>
      </x:c>
      <x:c r="B80" s="5" t="n">
        <x:f>100*('Quarterly inputs'!B81/'Quarterly inputs'!B80-1)</x:f>
        <x:v>1.6679441018912833</x:v>
      </x:c>
      <x:c r="C80" s="5" t="n">
        <x:f>'Quarterly inputs'!D81</x:f>
        <x:v>-0.7012307692307692</x:v>
      </x:c>
      <x:c r="D80" s="5" t="n">
        <x:f>100*('Quarterly inputs'!C81/'Quarterly inputs'!C80-1)</x:f>
        <x:v>0.6415974632326904</x:v>
      </x:c>
      <x:c r="E80" s="5" t="n">
        <x:f>'Quarterly inputs'!E81</x:f>
        <x:v>0.244129535260395</x:v>
      </x:c>
    </x:row>
    <x:row r="81" ht="21" customHeight="1">
      <x:c r="A81" s="1" t="str">
        <x:v>1996Q3</x:v>
      </x:c>
      <x:c r="B81" s="5" t="n">
        <x:f>100*('Quarterly inputs'!B82/'Quarterly inputs'!B81-1)</x:f>
        <x:v>0.8970337411311258</x:v>
      </x:c>
      <x:c r="C81" s="5" t="n">
        <x:f>'Quarterly inputs'!D82</x:f>
        <x:v>-0.7253076923076923</x:v>
      </x:c>
      <x:c r="D81" s="5" t="n">
        <x:f>100*('Quarterly inputs'!C82/'Quarterly inputs'!C81-1)</x:f>
        <x:v>0.8147783943246445</x:v>
      </x:c>
      <x:c r="E81" s="5" t="n">
        <x:f>'Quarterly inputs'!E82</x:f>
        <x:v>0.213323344939533</x:v>
      </x:c>
    </x:row>
    <x:row r="82" ht="21" customHeight="1">
      <x:c r="A82" s="1" t="str">
        <x:v>1996Q4</x:v>
      </x:c>
      <x:c r="B82" s="5" t="n">
        <x:f>100*('Quarterly inputs'!B83/'Quarterly inputs'!B82-1)</x:f>
        <x:v>1.0383695301930063</x:v>
      </x:c>
      <x:c r="C82" s="5" t="n">
        <x:f>'Quarterly inputs'!D83</x:f>
        <x:v>-0.7543076923076923</x:v>
      </x:c>
      <x:c r="D82" s="5" t="n">
        <x:f>100*('Quarterly inputs'!C83/'Quarterly inputs'!C82-1)</x:f>
        <x:v>0.922654298255221</x:v>
      </x:c>
      <x:c r="E82" s="5" t="n">
        <x:f>'Quarterly inputs'!E83</x:f>
        <x:v>0.125467437059816</x:v>
      </x:c>
    </x:row>
    <x:row r="83" ht="21" customHeight="1">
      <x:c r="A83" s="1" t="str">
        <x:v>1997Q1</x:v>
      </x:c>
      <x:c r="B83" s="5" t="n">
        <x:f>100*('Quarterly inputs'!B84/'Quarterly inputs'!B83-1)</x:f>
        <x:v>0.6454431985977394</x:v>
      </x:c>
      <x:c r="C83" s="5" t="n">
        <x:f>'Quarterly inputs'!D84</x:f>
        <x:v>-0.7113076923076923</x:v>
      </x:c>
      <x:c r="D83" s="5" t="n">
        <x:f>100*('Quarterly inputs'!C84/'Quarterly inputs'!C83-1)</x:f>
        <x:v>0.7117168648954175</x:v>
      </x:c>
      <x:c r="E83" s="5" t="n">
        <x:f>'Quarterly inputs'!E84</x:f>
        <x:v>0.156116125552451</x:v>
      </x:c>
    </x:row>
    <x:row r="84" ht="21" customHeight="1">
      <x:c r="A84" s="1" t="str">
        <x:v>1997Q2</x:v>
      </x:c>
      <x:c r="B84" s="5" t="n">
        <x:f>100*('Quarterly inputs'!B85/'Quarterly inputs'!B84-1)</x:f>
        <x:v>1.665217830555843</x:v>
      </x:c>
      <x:c r="C84" s="5" t="n">
        <x:f>'Quarterly inputs'!D85</x:f>
        <x:v>-0.6383846153846153</x:v>
      </x:c>
      <x:c r="D84" s="5" t="n">
        <x:f>100*('Quarterly inputs'!C85/'Quarterly inputs'!C84-1)</x:f>
        <x:v>2.9889769845181657</x:v>
      </x:c>
      <x:c r="E84" s="5" t="n">
        <x:f>'Quarterly inputs'!E85</x:f>
        <x:v>0.012581418257813</x:v>
      </x:c>
    </x:row>
    <x:row r="85" ht="21" customHeight="1">
      <x:c r="A85" s="1" t="str">
        <x:v>1997Q3</x:v>
      </x:c>
      <x:c r="B85" s="5" t="n">
        <x:f>100*('Quarterly inputs'!B86/'Quarterly inputs'!B85-1)</x:f>
        <x:v>1.2485689750959317</x:v>
      </x:c>
      <x:c r="C85" s="5" t="n">
        <x:f>'Quarterly inputs'!D86</x:f>
        <x:v>-0.645</x:v>
      </x:c>
      <x:c r="D85" s="5" t="n">
        <x:f>100*('Quarterly inputs'!C86/'Quarterly inputs'!C85-1)</x:f>
        <x:v>0.15339951064288204</x:v>
      </x:c>
      <x:c r="E85" s="5" t="n">
        <x:f>'Quarterly inputs'!E86</x:f>
        <x:v>-0.0040534660635722</x:v>
      </x:c>
    </x:row>
    <x:row r="86" ht="21" customHeight="1">
      <x:c r="A86" s="1" t="str">
        <x:v>1997Q4</x:v>
      </x:c>
      <x:c r="B86" s="5" t="n">
        <x:f>100*('Quarterly inputs'!B87/'Quarterly inputs'!B86-1)</x:f>
        <x:v>0.8538602727445443</x:v>
      </x:c>
      <x:c r="C86" s="5" t="n">
        <x:f>'Quarterly inputs'!D87</x:f>
        <x:v>-0.513</x:v>
      </x:c>
      <x:c r="D86" s="5" t="n">
        <x:f>100*('Quarterly inputs'!C87/'Quarterly inputs'!C86-1)</x:f>
        <x:v>1.4294303797468322</x:v>
      </x:c>
      <x:c r="E86" s="5" t="n">
        <x:f>'Quarterly inputs'!E87</x:f>
        <x:v>0.133170493780611</x:v>
      </x:c>
    </x:row>
    <x:row r="87" ht="21" customHeight="1">
      <x:c r="A87" s="1" t="str">
        <x:v>1998Q1</x:v>
      </x:c>
      <x:c r="B87" s="5" t="n">
        <x:f>100*('Quarterly inputs'!B88/'Quarterly inputs'!B87-1)</x:f>
        <x:v>1.0037531320823412</x:v>
      </x:c>
      <x:c r="C87" s="5" t="n">
        <x:f>'Quarterly inputs'!D88</x:f>
        <x:v>-0.6038461538461538</x:v>
      </x:c>
      <x:c r="D87" s="5" t="n">
        <x:f>100*('Quarterly inputs'!C88/'Quarterly inputs'!C87-1)</x:f>
        <x:v>0.6149439811304891</x:v>
      </x:c>
      <x:c r="E87" s="5" t="n">
        <x:f>'Quarterly inputs'!E88</x:f>
        <x:v>0.0008756783022265</x:v>
      </x:c>
    </x:row>
    <x:row r="88" ht="21" customHeight="1">
      <x:c r="A88" s="1" t="str">
        <x:v>1998Q2</x:v>
      </x:c>
      <x:c r="B88" s="5" t="n">
        <x:f>100*('Quarterly inputs'!B89/'Quarterly inputs'!B88-1)</x:f>
        <x:v>0.9256878799962953</x:v>
      </x:c>
      <x:c r="C88" s="5" t="n">
        <x:f>'Quarterly inputs'!D89</x:f>
        <x:v>-0.5843076923076923</x:v>
      </x:c>
      <x:c r="D88" s="5" t="n">
        <x:f>100*('Quarterly inputs'!C89/'Quarterly inputs'!C88-1)</x:f>
        <x:v>1.053062439532626</x:v>
      </x:c>
      <x:c r="E88" s="5" t="n">
        <x:f>'Quarterly inputs'!E89</x:f>
        <x:v>0.141691905560827</x:v>
      </x:c>
    </x:row>
    <x:row r="89" ht="21" customHeight="1">
      <x:c r="A89" s="1" t="str">
        <x:v>1998Q3</x:v>
      </x:c>
      <x:c r="B89" s="5" t="n">
        <x:f>100*('Quarterly inputs'!B90/'Quarterly inputs'!B89-1)</x:f>
        <x:v>1.258940271371034</x:v>
      </x:c>
      <x:c r="C89" s="5" t="n">
        <x:f>'Quarterly inputs'!D90</x:f>
        <x:v>-0.3776153846153846</x:v>
      </x:c>
      <x:c r="D89" s="5" t="n">
        <x:f>100*('Quarterly inputs'!C90/'Quarterly inputs'!C89-1)</x:f>
        <x:v>1.8598642461734816</x:v>
      </x:c>
      <x:c r="E89" s="5" t="n">
        <x:f>'Quarterly inputs'!E90</x:f>
        <x:v>0.251980323870847</x:v>
      </x:c>
    </x:row>
    <x:row r="90" ht="21" customHeight="1">
      <x:c r="A90" s="1" t="str">
        <x:v>1998Q4</x:v>
      </x:c>
      <x:c r="B90" s="5" t="n">
        <x:f>100*('Quarterly inputs'!B91/'Quarterly inputs'!B90-1)</x:f>
        <x:v>1.609196570958149</x:v>
      </x:c>
      <x:c r="C90" s="5" t="n">
        <x:f>'Quarterly inputs'!D91</x:f>
        <x:v>-0.07161538461538462</x:v>
      </x:c>
      <x:c r="D90" s="5" t="n">
        <x:f>100*('Quarterly inputs'!C91/'Quarterly inputs'!C90-1)</x:f>
        <x:v>1.543026706231454</x:v>
      </x:c>
      <x:c r="E90" s="5" t="n">
        <x:f>'Quarterly inputs'!E91</x:f>
        <x:v>0.0397557511963075</x:v>
      </x:c>
    </x:row>
    <x:row r="91" ht="21" customHeight="1">
      <x:c r="A91" s="1" t="str">
        <x:v>1999Q1</x:v>
      </x:c>
      <x:c r="B91" s="5" t="n">
        <x:f>100*('Quarterly inputs'!B92/'Quarterly inputs'!B91-1)</x:f>
        <x:v>0.9394337487217186</x:v>
      </x:c>
      <x:c r="C91" s="5" t="n">
        <x:f>'Quarterly inputs'!D92</x:f>
        <x:v>-0.3093846153846154</x:v>
      </x:c>
      <x:c r="D91" s="5" t="n">
        <x:f>100*('Quarterly inputs'!C92/'Quarterly inputs'!C91-1)</x:f>
        <x:v>0.746142458324317</x:v>
      </x:c>
      <x:c r="E91" s="5" t="n">
        <x:f>'Quarterly inputs'!E92</x:f>
        <x:v>-0.105199594004654</x:v>
      </x:c>
    </x:row>
    <x:row r="92" ht="21" customHeight="1">
      <x:c r="A92" s="1" t="str">
        <x:v>1999Q2</x:v>
      </x:c>
      <x:c r="B92" s="5" t="n">
        <x:f>100*('Quarterly inputs'!B93/'Quarterly inputs'!B92-1)</x:f>
        <x:v>0.8347428958686454</x:v>
      </x:c>
      <x:c r="C92" s="5" t="n">
        <x:f>'Quarterly inputs'!D93</x:f>
        <x:v>-0.39784615384615385</x:v>
      </x:c>
      <x:c r="D92" s="5" t="n">
        <x:f>100*('Quarterly inputs'!C93/'Quarterly inputs'!C92-1)</x:f>
        <x:v>0.38841870299368697</x:v>
      </x:c>
      <x:c r="E92" s="5" t="n">
        <x:f>'Quarterly inputs'!E93</x:f>
        <x:v>-0.0606857433702482</x:v>
      </x:c>
    </x:row>
    <x:row r="93" ht="21" customHeight="1">
      <x:c r="A93" s="1" t="str">
        <x:v>1999Q3</x:v>
      </x:c>
      <x:c r="B93" s="5" t="n">
        <x:f>100*('Quarterly inputs'!B94/'Quarterly inputs'!B93-1)</x:f>
        <x:v>1.3258832295057754</x:v>
      </x:c>
      <x:c r="C93" s="5" t="n">
        <x:f>'Quarterly inputs'!D94</x:f>
        <x:v>-0.18730769230769231</x:v>
      </x:c>
      <x:c r="D93" s="5" t="n">
        <x:f>100*('Quarterly inputs'!C94/'Quarterly inputs'!C93-1)</x:f>
        <x:v>1.0982660655146192</x:v>
      </x:c>
      <x:c r="E93" s="5" t="n">
        <x:f>'Quarterly inputs'!E94</x:f>
        <x:v>-0.0281496340444783</x:v>
      </x:c>
    </x:row>
    <x:row r="94" ht="21" customHeight="1">
      <x:c r="A94" s="1" t="str">
        <x:v>1999Q4</x:v>
      </x:c>
      <x:c r="B94" s="5" t="n">
        <x:f>100*('Quarterly inputs'!B95/'Quarterly inputs'!B94-1)</x:f>
        <x:v>1.6406670865683814</x:v>
      </x:c>
      <x:c r="C94" s="5" t="n">
        <x:f>'Quarterly inputs'!D95</x:f>
        <x:v>-0.1357857142857143</x:v>
      </x:c>
      <x:c r="D94" s="5" t="n">
        <x:f>100*('Quarterly inputs'!C95/'Quarterly inputs'!C94-1)</x:f>
        <x:v>1.695367697195671</x:v>
      </x:c>
      <x:c r="E94" s="5" t="n">
        <x:f>'Quarterly inputs'!E95</x:f>
        <x:v>-0.141768946530172</x:v>
      </x:c>
    </x:row>
    <x:row r="95" ht="21" customHeight="1">
      <x:c r="A95" s="1" t="str">
        <x:v>2000Q1</x:v>
      </x:c>
      <x:c r="B95" s="5" t="n">
        <x:f>100*('Quarterly inputs'!B96/'Quarterly inputs'!B95-1)</x:f>
        <x:v>0.36279340872638066</x:v>
      </x:c>
      <x:c r="C95" s="5" t="n">
        <x:f>'Quarterly inputs'!D96</x:f>
        <x:v>-0.17253846153846153</x:v>
      </x:c>
      <x:c r="D95" s="5" t="n">
        <x:f>100*('Quarterly inputs'!C96/'Quarterly inputs'!C95-1)</x:f>
        <x:v>0.39487799867612416</x:v>
      </x:c>
      <x:c r="E95" s="5" t="n">
        <x:f>'Quarterly inputs'!E96</x:f>
        <x:v>-0.097718714534825</x:v>
      </x:c>
    </x:row>
    <x:row r="96" ht="21" customHeight="1">
      <x:c r="A96" s="1" t="str">
        <x:v>2000Q2</x:v>
      </x:c>
      <x:c r="B96" s="5" t="n">
        <x:f>100*('Quarterly inputs'!B97/'Quarterly inputs'!B96-1)</x:f>
        <x:v>1.8212878131352639</x:v>
      </x:c>
      <x:c r="C96" s="5" t="n">
        <x:f>'Quarterly inputs'!D97</x:f>
        <x:v>-0.005769230769230769</x:v>
      </x:c>
      <x:c r="D96" s="5" t="n">
        <x:f>100*('Quarterly inputs'!C97/'Quarterly inputs'!C96-1)</x:f>
        <x:v>0.9850172790105471</x:v>
      </x:c>
      <x:c r="E96" s="5" t="n">
        <x:f>'Quarterly inputs'!E97</x:f>
        <x:v>-0.0888790703340792</x:v>
      </x:c>
    </x:row>
    <x:row r="97" ht="21" customHeight="1">
      <x:c r="A97" s="1" t="str">
        <x:v>2000Q3</x:v>
      </x:c>
      <x:c r="B97" s="5" t="n">
        <x:f>100*('Quarterly inputs'!B98/'Quarterly inputs'!B97-1)</x:f>
        <x:v>0.10193258635609048</x:v>
      </x:c>
      <x:c r="C97" s="5" t="n">
        <x:f>'Quarterly inputs'!D98</x:f>
        <x:v>-0.15223076923076923</x:v>
      </x:c>
      <x:c r="D97" s="5" t="n">
        <x:f>100*('Quarterly inputs'!C98/'Quarterly inputs'!C97-1)</x:f>
        <x:v>0.2724166849591203</x:v>
      </x:c>
      <x:c r="E97" s="5" t="n">
        <x:f>'Quarterly inputs'!E98</x:f>
        <x:v>-0.0595680986127717</x:v>
      </x:c>
    </x:row>
    <x:row r="98" ht="21" customHeight="1">
      <x:c r="A98" s="1" t="str">
        <x:v>2000Q4</x:v>
      </x:c>
      <x:c r="B98" s="5" t="n">
        <x:f>100*('Quarterly inputs'!B99/'Quarterly inputs'!B98-1)</x:f>
        <x:v>0.5970387927816567</x:v>
      </x:c>
      <x:c r="C98" s="5" t="n">
        <x:f>'Quarterly inputs'!D99</x:f>
        <x:v>-0.12430769230769231</x:v>
      </x:c>
      <x:c r="D98" s="5" t="n">
        <x:f>100*('Quarterly inputs'!C99/'Quarterly inputs'!C98-1)</x:f>
        <x:v>-0.4061116007027632</x:v>
      </x:c>
      <x:c r="E98" s="5" t="n">
        <x:f>'Quarterly inputs'!E99</x:f>
        <x:v>-0.0851355955012009</x:v>
      </x:c>
    </x:row>
    <x:row r="99" ht="21" customHeight="1">
      <x:c r="A99" s="1" t="str">
        <x:v>2001Q1</x:v>
      </x:c>
      <x:c r="B99" s="5" t="n">
        <x:f>100*('Quarterly inputs'!B100/'Quarterly inputs'!B99-1)</x:f>
        <x:v>-0.3277988076401672</x:v>
      </x:c>
      <x:c r="C99" s="5" t="n">
        <x:f>'Quarterly inputs'!D100</x:f>
        <x:v>-0.23292307692307693</x:v>
      </x:c>
      <x:c r="D99" s="5" t="n">
        <x:f>100*('Quarterly inputs'!C100/'Quarterly inputs'!C99-1)</x:f>
        <x:v>0.9474185521573419</x:v>
      </x:c>
      <x:c r="E99" s="5" t="n">
        <x:f>'Quarterly inputs'!E100</x:f>
        <x:v>0.0103399811422629</x:v>
      </x:c>
    </x:row>
    <x:row r="100" ht="21" customHeight="1">
      <x:c r="A100" s="1" t="str">
        <x:v>2001Q2</x:v>
      </x:c>
      <x:c r="B100" s="5" t="n">
        <x:f>100*('Quarterly inputs'!B101/'Quarterly inputs'!B100-1)</x:f>
        <x:v>0.624502930243831</x:v>
      </x:c>
      <x:c r="C100" s="5" t="n">
        <x:f>'Quarterly inputs'!D101</x:f>
        <x:v>-0.38176923076923075</x:v>
      </x:c>
      <x:c r="D100" s="5" t="n">
        <x:f>100*('Quarterly inputs'!C101/'Quarterly inputs'!C100-1)</x:f>
        <x:v>0.899723913450079</x:v>
      </x:c>
      <x:c r="E100" s="5" t="n">
        <x:f>'Quarterly inputs'!E101</x:f>
        <x:v>-0.112613731072638</x:v>
      </x:c>
    </x:row>
    <x:row r="101" ht="21" customHeight="1">
      <x:c r="A101" s="1" t="str">
        <x:v>2001Q3</x:v>
      </x:c>
      <x:c r="B101" s="5" t="n">
        <x:f>100*('Quarterly inputs'!B102/'Quarterly inputs'!B101-1)</x:f>
        <x:v>-0.40063919531907466</x:v>
      </x:c>
      <x:c r="C101" s="5" t="n">
        <x:f>'Quarterly inputs'!D102</x:f>
        <x:v>-0.4402307692307692</x:v>
      </x:c>
      <x:c r="D101" s="5" t="n">
        <x:f>100*('Quarterly inputs'!C102/'Quarterly inputs'!C101-1)</x:f>
        <x:v>1.1254855523954</x:v>
      </x:c>
      <x:c r="E101" s="5" t="n">
        <x:f>'Quarterly inputs'!E102</x:f>
        <x:v>0.10923665714013</x:v>
      </x:c>
    </x:row>
    <x:row r="102" ht="21" customHeight="1">
      <x:c r="A102" s="1" t="str">
        <x:v>2001Q4</x:v>
      </x:c>
      <x:c r="B102" s="5" t="n">
        <x:f>100*('Quarterly inputs'!B103/'Quarterly inputs'!B102-1)</x:f>
        <x:v>0.2747754478590769</x:v>
      </x:c>
      <x:c r="C102" s="5" t="n">
        <x:f>'Quarterly inputs'!D103</x:f>
        <x:v>-0.36792307692307696</x:v>
      </x:c>
      <x:c r="D102" s="5" t="n">
        <x:f>100*('Quarterly inputs'!C103/'Quarterly inputs'!C102-1)</x:f>
        <x:v>1.1881962835693427</x:v>
      </x:c>
      <x:c r="E102" s="5" t="n">
        <x:f>'Quarterly inputs'!E103</x:f>
        <x:v>-0.0760835299734759</x:v>
      </x:c>
    </x:row>
    <x:row r="103" ht="21" customHeight="1">
      <x:c r="A103" s="1" t="str">
        <x:v>2002Q1</x:v>
      </x:c>
      <x:c r="B103" s="5" t="n">
        <x:f>100*('Quarterly inputs'!B104/'Quarterly inputs'!B103-1)</x:f>
        <x:v>0.8363586564324121</x:v>
      </x:c>
      <x:c r="C103" s="5" t="n">
        <x:f>'Quarterly inputs'!D104</x:f>
        <x:v>-0.4672307692307692</x:v>
      </x:c>
      <x:c r="D103" s="5" t="n">
        <x:f>100*('Quarterly inputs'!C104/'Quarterly inputs'!C103-1)</x:f>
        <x:v>0.7813873004285377</x:v>
      </x:c>
      <x:c r="E103" s="5" t="n">
        <x:f>'Quarterly inputs'!E104</x:f>
        <x:v>-0.185354257620793</x:v>
      </x:c>
    </x:row>
    <x:row r="104" ht="21" customHeight="1">
      <x:c r="A104" s="1" t="str">
        <x:v>2002Q2</x:v>
      </x:c>
      <x:c r="B104" s="5" t="n">
        <x:f>100*('Quarterly inputs'!B105/'Quarterly inputs'!B104-1)</x:f>
        <x:v>0.6127065840058066</x:v>
      </x:c>
      <x:c r="C104" s="5" t="n">
        <x:f>'Quarterly inputs'!D105</x:f>
        <x:v>-0.5806153846153846</x:v>
      </x:c>
      <x:c r="D104" s="5" t="n">
        <x:f>100*('Quarterly inputs'!C105/'Quarterly inputs'!C104-1)</x:f>
        <x:v>1.7406001421883532</x:v>
      </x:c>
      <x:c r="E104" s="5" t="n">
        <x:f>'Quarterly inputs'!E105</x:f>
        <x:v>-0.189164712053938</x:v>
      </x:c>
    </x:row>
    <x:row r="105" ht="21" customHeight="1">
      <x:c r="A105" s="1" t="str">
        <x:v>2002Q3</x:v>
      </x:c>
      <x:c r="B105" s="5" t="n">
        <x:f>100*('Quarterly inputs'!B106/'Quarterly inputs'!B105-1)</x:f>
        <x:v>0.4065114300350947</x:v>
      </x:c>
      <x:c r="C105" s="5" t="n">
        <x:f>'Quarterly inputs'!D106</x:f>
        <x:v>-0.4106153846153846</x:v>
      </x:c>
      <x:c r="D105" s="5" t="n">
        <x:f>100*('Quarterly inputs'!C106/'Quarterly inputs'!C105-1)</x:f>
        <x:v>0.23072886589510233</x:v>
      </x:c>
      <x:c r="E105" s="5" t="n">
        <x:f>'Quarterly inputs'!E106</x:f>
        <x:v>-0.0611995992930421</x:v>
      </x:c>
    </x:row>
    <x:row r="106" ht="21" customHeight="1">
      <x:c r="A106" s="1" t="str">
        <x:v>2002Q4</x:v>
      </x:c>
      <x:c r="B106" s="5" t="n">
        <x:f>100*('Quarterly inputs'!B107/'Quarterly inputs'!B106-1)</x:f>
        <x:v>0.12360505255195608</x:v>
      </x:c>
      <x:c r="C106" s="5" t="n">
        <x:f>'Quarterly inputs'!D107</x:f>
        <x:v>-0.41823076923076924</x:v>
      </x:c>
      <x:c r="D106" s="5" t="n">
        <x:f>100*('Quarterly inputs'!C107/'Quarterly inputs'!C106-1)</x:f>
        <x:v>0.8342365853915235</x:v>
      </x:c>
      <x:c r="E106" s="5" t="n">
        <x:f>'Quarterly inputs'!E107</x:f>
        <x:v>-0.0778473363348269</x:v>
      </x:c>
    </x:row>
    <x:row r="107" ht="21" customHeight="1">
      <x:c r="A107" s="1" t="str">
        <x:v>2003Q1</x:v>
      </x:c>
      <x:c r="B107" s="5" t="n">
        <x:f>100*('Quarterly inputs'!B108/'Quarterly inputs'!B107-1)</x:f>
        <x:v>0.5266419858050542</x:v>
      </x:c>
      <x:c r="C107" s="5" t="n">
        <x:f>'Quarterly inputs'!D108</x:f>
        <x:v>-0.5282307692307693</x:v>
      </x:c>
      <x:c r="D107" s="5" t="n">
        <x:f>100*('Quarterly inputs'!C108/'Quarterly inputs'!C107-1)</x:f>
        <x:v>0.23559861093354062</x:v>
      </x:c>
      <x:c r="E107" s="5" t="n">
        <x:f>'Quarterly inputs'!E108</x:f>
        <x:v>0.0388625725474385</x:v>
      </x:c>
    </x:row>
    <x:row r="108" ht="21" customHeight="1">
      <x:c r="A108" s="1" t="str">
        <x:v>2003Q2</x:v>
      </x:c>
      <x:c r="B108" s="5" t="n">
        <x:f>100*('Quarterly inputs'!B109/'Quarterly inputs'!B108-1)</x:f>
        <x:v>0.885621672871495</x:v>
      </x:c>
      <x:c r="C108" s="5" t="n">
        <x:f>'Quarterly inputs'!D109</x:f>
        <x:v>-0.6872307692307692</x:v>
      </x:c>
      <x:c r="D108" s="5" t="n">
        <x:f>100*('Quarterly inputs'!C109/'Quarterly inputs'!C108-1)</x:f>
        <x:v>0.40892077192580256</x:v>
      </x:c>
      <x:c r="E108" s="5" t="n">
        <x:f>'Quarterly inputs'!E109</x:f>
        <x:v>-0.237096288087567</x:v>
      </x:c>
    </x:row>
    <x:row r="109" ht="21" customHeight="1">
      <x:c r="A109" s="1" t="str">
        <x:v>2003Q3</x:v>
      </x:c>
      <x:c r="B109" s="5" t="n">
        <x:f>100*('Quarterly inputs'!B110/'Quarterly inputs'!B109-1)</x:f>
        <x:v>1.663199956971062</x:v>
      </x:c>
      <x:c r="C109" s="5" t="n">
        <x:f>'Quarterly inputs'!D110</x:f>
        <x:v>-0.6863846153846154</x:v>
      </x:c>
      <x:c r="D109" s="5" t="n">
        <x:f>100*('Quarterly inputs'!C110/'Quarterly inputs'!C109-1)</x:f>
        <x:v>1.6870899254185945</x:v>
      </x:c>
      <x:c r="E109" s="5" t="n">
        <x:f>'Quarterly inputs'!E110</x:f>
        <x:v>-0.251582345590055</x:v>
      </x:c>
    </x:row>
    <x:row r="110" ht="21" customHeight="1">
      <x:c r="A110" s="1" t="str">
        <x:v>2003Q4</x:v>
      </x:c>
      <x:c r="B110" s="5" t="n">
        <x:f>100*('Quarterly inputs'!B111/'Quarterly inputs'!B110-1)</x:f>
        <x:v>1.160721398176312</x:v>
      </x:c>
      <x:c r="C110" s="5" t="n">
        <x:f>'Quarterly inputs'!D111</x:f>
        <x:v>-0.7082307692307691</x:v>
      </x:c>
      <x:c r="D110" s="5" t="n">
        <x:f>100*('Quarterly inputs'!C111/'Quarterly inputs'!C110-1)</x:f>
        <x:v>1.6922406255019062</x:v>
      </x:c>
      <x:c r="E110" s="5" t="n">
        <x:f>'Quarterly inputs'!E111</x:f>
        <x:v>-0.224265281698459</x:v>
      </x:c>
    </x:row>
    <x:row r="111" ht="21" customHeight="1">
      <x:c r="A111" s="1" t="str">
        <x:v>2004Q1</x:v>
      </x:c>
      <x:c r="B111" s="5" t="n">
        <x:f>100*('Quarterly inputs'!B112/'Quarterly inputs'!B111-1)</x:f>
        <x:v>0.5666514539569345</x:v>
      </x:c>
      <x:c r="C111" s="5" t="n">
        <x:f>'Quarterly inputs'!D112</x:f>
        <x:v>-0.7863846153846155</x:v>
      </x:c>
      <x:c r="D111" s="5" t="n">
        <x:f>100*('Quarterly inputs'!C112/'Quarterly inputs'!C111-1)</x:f>
        <x:v>0.7548276631428097</x:v>
      </x:c>
      <x:c r="E111" s="5" t="n">
        <x:f>'Quarterly inputs'!E112</x:f>
        <x:v>-0.295390056161631</x:v>
      </x:c>
    </x:row>
    <x:row r="112" ht="21" customHeight="1">
      <x:c r="A112" s="1" t="str">
        <x:v>2004Q2</x:v>
      </x:c>
      <x:c r="B112" s="5" t="n">
        <x:f>100*('Quarterly inputs'!B113/'Quarterly inputs'!B112-1)</x:f>
        <x:v>0.7749523237421174</x:v>
      </x:c>
      <x:c r="C112" s="5" t="n">
        <x:f>'Quarterly inputs'!D113</x:f>
        <x:v>-0.7227692307692308</x:v>
      </x:c>
      <x:c r="D112" s="5" t="n">
        <x:f>100*('Quarterly inputs'!C113/'Quarterly inputs'!C112-1)</x:f>
        <x:v>0.7548953745863507</x:v>
      </x:c>
      <x:c r="E112" s="5" t="n">
        <x:f>'Quarterly inputs'!E113</x:f>
        <x:v>-0.287736918378373</x:v>
      </x:c>
    </x:row>
    <x:row r="113" ht="21" customHeight="1">
      <x:c r="A113" s="1" t="str">
        <x:v>2004Q3</x:v>
      </x:c>
      <x:c r="B113" s="5" t="n">
        <x:f>100*('Quarterly inputs'!B114/'Quarterly inputs'!B113-1)</x:f>
        <x:v>0.9485938887930923</x:v>
      </x:c>
      <x:c r="C113" s="5" t="n">
        <x:f>'Quarterly inputs'!D114</x:f>
        <x:v>-0.6939230769230769</x:v>
      </x:c>
      <x:c r="D113" s="5" t="n">
        <x:f>100*('Quarterly inputs'!C114/'Quarterly inputs'!C113-1)</x:f>
        <x:v>0.661819905962302</x:v>
      </x:c>
      <x:c r="E113" s="5" t="n">
        <x:f>'Quarterly inputs'!E114</x:f>
        <x:v>-0.30003862861012</x:v>
      </x:c>
    </x:row>
    <x:row r="114" ht="21" customHeight="1">
      <x:c r="A114" s="1" t="str">
        <x:v>2004Q4</x:v>
      </x:c>
      <x:c r="B114" s="5" t="n">
        <x:f>100*('Quarterly inputs'!B115/'Quarterly inputs'!B114-1)</x:f>
        <x:v>1.0202081286209586</x:v>
      </x:c>
      <x:c r="C114" s="5" t="n">
        <x:f>'Quarterly inputs'!D115</x:f>
        <x:v>-0.704</x:v>
      </x:c>
      <x:c r="D114" s="5" t="n">
        <x:f>100*('Quarterly inputs'!C115/'Quarterly inputs'!C114-1)</x:f>
        <x:v>0.7570702412026842</x:v>
      </x:c>
      <x:c r="E114" s="5" t="n">
        <x:f>'Quarterly inputs'!E115</x:f>
        <x:v>-0.456224275577482</x:v>
      </x:c>
    </x:row>
    <x:row r="115" ht="21" customHeight="1">
      <x:c r="A115" s="1" t="str">
        <x:v>2005Q1</x:v>
      </x:c>
      <x:c r="B115" s="5" t="n">
        <x:f>100*('Quarterly inputs'!B116/'Quarterly inputs'!B115-1)</x:f>
        <x:v>1.1093633541958248</x:v>
      </x:c>
      <x:c r="C115" s="5" t="n">
        <x:f>'Quarterly inputs'!D116</x:f>
        <x:v>-0.6960000000000001</x:v>
      </x:c>
      <x:c r="D115" s="5" t="n">
        <x:f>100*('Quarterly inputs'!C116/'Quarterly inputs'!C115-1)</x:f>
        <x:v>0.822721628399603</x:v>
      </x:c>
      <x:c r="E115" s="5" t="n">
        <x:f>'Quarterly inputs'!E116</x:f>
        <x:v>-0.4858900591247</x:v>
      </x:c>
    </x:row>
    <x:row r="116" ht="21" customHeight="1">
      <x:c r="A116" s="1" t="str">
        <x:v>2005Q2</x:v>
      </x:c>
      <x:c r="B116" s="5" t="n">
        <x:f>100*('Quarterly inputs'!B117/'Quarterly inputs'!B116-1)</x:f>
        <x:v>0.4926244548107306</x:v>
      </x:c>
      <x:c r="C116" s="5" t="n">
        <x:f>'Quarterly inputs'!D117</x:f>
        <x:v>-0.61</x:v>
      </x:c>
      <x:c r="D116" s="5" t="n">
        <x:f>100*('Quarterly inputs'!C117/'Quarterly inputs'!C116-1)</x:f>
        <x:v>0.4651174022975768</x:v>
      </x:c>
      <x:c r="E116" s="5" t="n">
        <x:f>'Quarterly inputs'!E117</x:f>
        <x:v>-0.448815478149922</x:v>
      </x:c>
    </x:row>
    <x:row r="117" ht="21" customHeight="1">
      <x:c r="A117" s="1" t="str">
        <x:v>2005Q3</x:v>
      </x:c>
      <x:c r="B117" s="5" t="n">
        <x:f>100*('Quarterly inputs'!B118/'Quarterly inputs'!B117-1)</x:f>
        <x:v>0.7838140345072908</x:v>
      </x:c>
      <x:c r="C117" s="5" t="n">
        <x:f>'Quarterly inputs'!D118</x:f>
        <x:v>-0.5957857142857143</x:v>
      </x:c>
      <x:c r="D117" s="5" t="n">
        <x:f>100*('Quarterly inputs'!C118/'Quarterly inputs'!C117-1)</x:f>
        <x:v>1.0809706380779494</x:v>
      </x:c>
      <x:c r="E117" s="5" t="n">
        <x:f>'Quarterly inputs'!E118</x:f>
        <x:v>-0.524739773664426</x:v>
      </x:c>
    </x:row>
    <x:row r="118" ht="21" customHeight="1">
      <x:c r="A118" s="1" t="str">
        <x:v>2005Q4</x:v>
      </x:c>
      <x:c r="B118" s="5" t="n">
        <x:f>100*('Quarterly inputs'!B119/'Quarterly inputs'!B118-1)</x:f>
        <x:v>0.5555165396517348</x:v>
      </x:c>
      <x:c r="C118" s="5" t="n">
        <x:f>'Quarterly inputs'!D119</x:f>
        <x:v>-0.5732307692307692</x:v>
      </x:c>
      <x:c r="D118" s="5" t="n">
        <x:f>100*('Quarterly inputs'!C119/'Quarterly inputs'!C118-1)</x:f>
        <x:v>0.8085381630013044</x:v>
      </x:c>
      <x:c r="E118" s="5" t="n">
        <x:f>'Quarterly inputs'!E119</x:f>
        <x:v>-0.549585065949164</x:v>
      </x:c>
    </x:row>
    <x:row r="119" ht="21" customHeight="1">
      <x:c r="A119" s="1" t="str">
        <x:v>2006Q1</x:v>
      </x:c>
      <x:c r="B119" s="5" t="n">
        <x:f>100*('Quarterly inputs'!B120/'Quarterly inputs'!B119-1)</x:f>
        <x:v>1.3453837684874737</x:v>
      </x:c>
      <x:c r="C119" s="5" t="n">
        <x:f>'Quarterly inputs'!D120</x:f>
        <x:v>-0.614</x:v>
      </x:c>
      <x:c r="D119" s="5" t="n">
        <x:f>100*('Quarterly inputs'!C120/'Quarterly inputs'!C119-1)</x:f>
        <x:v>0.07808224348448967</x:v>
      </x:c>
      <x:c r="E119" s="5" t="n">
        <x:f>'Quarterly inputs'!E120</x:f>
        <x:v>-0.682023198393709</x:v>
      </x:c>
    </x:row>
    <x:row r="120" ht="21" customHeight="1">
      <x:c r="A120" s="1" t="str">
        <x:v>2006Q2</x:v>
      </x:c>
      <x:c r="B120" s="5" t="n">
        <x:f>100*('Quarterly inputs'!B121/'Quarterly inputs'!B120-1)</x:f>
        <x:v>0.25875276349554</x:v>
      </x:c>
      <x:c r="C120" s="5" t="n">
        <x:f>'Quarterly inputs'!D121</x:f>
        <x:v>-0.5846923076923077</x:v>
      </x:c>
      <x:c r="D120" s="5" t="n">
        <x:f>100*('Quarterly inputs'!C121/'Quarterly inputs'!C120-1)</x:f>
        <x:v>0.2840353288092068</x:v>
      </x:c>
      <x:c r="E120" s="5" t="n">
        <x:f>'Quarterly inputs'!E121</x:f>
        <x:v>-0.622611988974947</x:v>
      </x:c>
    </x:row>
    <x:row r="121" ht="21" customHeight="1">
      <x:c r="A121" s="1" t="str">
        <x:v>2006Q3</x:v>
      </x:c>
      <x:c r="B121" s="5" t="n">
        <x:f>100*('Quarterly inputs'!B122/'Quarterly inputs'!B121-1)</x:f>
        <x:v>0.1499559256315619</x:v>
      </x:c>
      <x:c r="C121" s="5" t="n">
        <x:f>'Quarterly inputs'!D122</x:f>
        <x:v>-0.5801538461538461</x:v>
      </x:c>
      <x:c r="D121" s="5" t="n">
        <x:f>100*('Quarterly inputs'!C122/'Quarterly inputs'!C121-1)</x:f>
        <x:v>1.5014760910851521</x:v>
      </x:c>
      <x:c r="E121" s="5" t="n">
        <x:f>'Quarterly inputs'!E122</x:f>
        <x:v>-0.628416552724339</x:v>
      </x:c>
    </x:row>
    <x:row r="122" ht="21" customHeight="1">
      <x:c r="A122" s="1" t="str">
        <x:v>2006Q4</x:v>
      </x:c>
      <x:c r="B122" s="5" t="n">
        <x:f>100*('Quarterly inputs'!B123/'Quarterly inputs'!B122-1)</x:f>
        <x:v>0.8594498006118778</x:v>
      </x:c>
      <x:c r="C122" s="5" t="n">
        <x:f>'Quarterly inputs'!D123</x:f>
        <x:v>-0.6234615384615385</x:v>
      </x:c>
      <x:c r="D122" s="5" t="n">
        <x:f>100*('Quarterly inputs'!C123/'Quarterly inputs'!C122-1)</x:f>
        <x:v>1.2340332904158036</x:v>
      </x:c>
      <x:c r="E122" s="5" t="n">
        <x:f>'Quarterly inputs'!E123</x:f>
        <x:v>-0.771671689749793</x:v>
      </x:c>
    </x:row>
    <x:row r="123" ht="21" customHeight="1">
      <x:c r="A123" s="1" t="str">
        <x:v>2007Q1</x:v>
      </x:c>
      <x:c r="B123" s="5" t="n">
        <x:f>100*('Quarterly inputs'!B124/'Quarterly inputs'!B123-1)</x:f>
        <x:v>0.30083566670564554</x:v>
      </x:c>
      <x:c r="C123" s="5" t="n">
        <x:f>'Quarterly inputs'!D124</x:f>
        <x:v>-0.6503846153846153</x:v>
      </x:c>
      <x:c r="D123" s="5" t="n">
        <x:f>100*('Quarterly inputs'!C124/'Quarterly inputs'!C123-1)</x:f>
        <x:v>1.3768256836663495</x:v>
      </x:c>
      <x:c r="E123" s="5" t="n">
        <x:f>'Quarterly inputs'!E124</x:f>
        <x:v>-0.84877963478626</x:v>
      </x:c>
    </x:row>
    <x:row r="124" ht="21" customHeight="1">
      <x:c r="A124" s="1" t="str">
        <x:v>2007Q2</x:v>
      </x:c>
      <x:c r="B124" s="5" t="n">
        <x:f>100*('Quarterly inputs'!B125/'Quarterly inputs'!B124-1)</x:f>
        <x:v>0.6117619579946387</x:v>
      </x:c>
      <x:c r="C124" s="5" t="n">
        <x:f>'Quarterly inputs'!D125</x:f>
        <x:v>-0.5626923076923077</x:v>
      </x:c>
      <x:c r="D124" s="5" t="n">
        <x:f>100*('Quarterly inputs'!C125/'Quarterly inputs'!C124-1)</x:f>
        <x:v>0.6642839091663966</x:v>
      </x:c>
      <x:c r="E124" s="5" t="n">
        <x:f>'Quarterly inputs'!E125</x:f>
        <x:v>-0.910853763106293</x:v>
      </x:c>
    </x:row>
    <x:row r="125" ht="21" customHeight="1">
      <x:c r="A125" s="1" t="str">
        <x:v>2007Q3</x:v>
      </x:c>
      <x:c r="B125" s="5" t="n">
        <x:f>100*('Quarterly inputs'!B126/'Quarterly inputs'!B125-1)</x:f>
        <x:v>0.5760257959612325</x:v>
      </x:c>
      <x:c r="C125" s="5" t="n">
        <x:f>'Quarterly inputs'!D126</x:f>
        <x:v>-0.060230769230769234</x:v>
      </x:c>
      <x:c r="D125" s="5" t="n">
        <x:f>100*('Quarterly inputs'!C126/'Quarterly inputs'!C125-1)</x:f>
        <x:v>1.1714126887350629</x:v>
      </x:c>
      <x:c r="E125" s="5" t="n">
        <x:f>'Quarterly inputs'!E126</x:f>
        <x:v>-0.773840778336015</x:v>
      </x:c>
    </x:row>
    <x:row r="126" ht="21" customHeight="1">
      <x:c r="A126" s="1" t="str">
        <x:v>2007Q4</x:v>
      </x:c>
      <x:c r="B126" s="5" t="n">
        <x:f>100*('Quarterly inputs'!B127/'Quarterly inputs'!B126-1)</x:f>
        <x:v>0.6282367318126258</x:v>
      </x:c>
      <x:c r="C126" s="5" t="n">
        <x:f>'Quarterly inputs'!D127</x:f>
        <x:v>0.274</x:v>
      </x:c>
      <x:c r="D126" s="5" t="n">
        <x:f>100*('Quarterly inputs'!C127/'Quarterly inputs'!C126-1)</x:f>
        <x:v>0.3511656039383748</x:v>
      </x:c>
      <x:c r="E126" s="5" t="n">
        <x:f>'Quarterly inputs'!E127</x:f>
        <x:v>-0.610183437140803</x:v>
      </x:c>
    </x:row>
    <x:row r="127" ht="21" customHeight="1">
      <x:c r="A127" s="1" t="str">
        <x:v>2008Q1</x:v>
      </x:c>
      <x:c r="B127" s="5" t="n">
        <x:f>100*('Quarterly inputs'!B128/'Quarterly inputs'!B127-1)</x:f>
        <x:v>-0.42676432089947536</x:v>
      </x:c>
      <x:c r="C127" s="5" t="n">
        <x:f>'Quarterly inputs'!D128</x:f>
        <x:v>0.6550769230769231</x:v>
      </x:c>
      <x:c r="D127" s="5" t="n">
        <x:f>100*('Quarterly inputs'!C128/'Quarterly inputs'!C127-1)</x:f>
        <x:v>1.1239924139895274</x:v>
      </x:c>
      <x:c r="E127" s="5" t="n">
        <x:f>'Quarterly inputs'!E128</x:f>
        <x:v>0.124452990705573</x:v>
      </x:c>
    </x:row>
    <x:row r="128" ht="21" customHeight="1">
      <x:c r="A128" s="1" t="str">
        <x:v>2008Q2</x:v>
      </x:c>
      <x:c r="B128" s="5" t="n">
        <x:f>100*('Quarterly inputs'!B129/'Quarterly inputs'!B128-1)</x:f>
        <x:v>0.5954282618129358</x:v>
      </x:c>
      <x:c r="C128" s="5" t="n">
        <x:f>'Quarterly inputs'!D129</x:f>
        <x:v>0.6357692307692309</x:v>
      </x:c>
      <x:c r="D128" s="5" t="n">
        <x:f>100*('Quarterly inputs'!C129/'Quarterly inputs'!C128-1)</x:f>
        <x:v>0.36700652795669253</x:v>
      </x:c>
      <x:c r="E128" s="5" t="n">
        <x:f>'Quarterly inputs'!E129</x:f>
        <x:v>0.196809399987664</x:v>
      </x:c>
    </x:row>
    <x:row r="129" ht="21" customHeight="1">
      <x:c r="A129" s="1" t="str">
        <x:v>2008Q3</x:v>
      </x:c>
      <x:c r="B129" s="5" t="n">
        <x:f>100*('Quarterly inputs'!B130/'Quarterly inputs'!B129-1)</x:f>
        <x:v>-0.5252580505168858</x:v>
      </x:c>
      <x:c r="C129" s="5" t="n">
        <x:f>'Quarterly inputs'!D130</x:f>
        <x:v>0.9362307692307692</x:v>
      </x:c>
      <x:c r="D129" s="5" t="n">
        <x:f>100*('Quarterly inputs'!C130/'Quarterly inputs'!C129-1)</x:f>
        <x:v>0.6747717587788804</x:v>
      </x:c>
      <x:c r="E129" s="5" t="n">
        <x:f>'Quarterly inputs'!E130</x:f>
        <x:v>0.434645335024349</x:v>
      </x:c>
    </x:row>
    <x:row r="130" ht="21" customHeight="1">
      <x:c r="A130" s="1" t="str">
        <x:v>2008Q4</x:v>
      </x:c>
      <x:c r="B130" s="5" t="n">
        <x:f>100*('Quarterly inputs'!B131/'Quarterly inputs'!B130-1)</x:f>
        <x:v>-2.189026595298116</x:v>
      </x:c>
      <x:c r="C130" s="5" t="n">
        <x:f>'Quarterly inputs'!D131</x:f>
        <x:v>2.7809999999999997</x:v>
      </x:c>
      <x:c r="D130" s="5" t="n">
        <x:f>100*('Quarterly inputs'!C131/'Quarterly inputs'!C130-1)</x:f>
        <x:v>-0.4347328186546151</x:v>
      </x:c>
      <x:c r="E130" s="5" t="n">
        <x:f>'Quarterly inputs'!E131</x:f>
        <x:v>1.28177029981337</x:v>
      </x:c>
    </x:row>
    <x:row r="131" ht="21" customHeight="1">
      <x:c r="A131" s="1" t="str">
        <x:v>2009Q1</x:v>
      </x:c>
      <x:c r="B131" s="5" t="n">
        <x:f>100*('Quarterly inputs'!B132/'Quarterly inputs'!B131-1)</x:f>
        <x:v>-1.1348742974823023</x:v>
      </x:c>
      <x:c r="C131" s="5" t="n">
        <x:f>'Quarterly inputs'!D132</x:f>
        <x:v>2.186384615384615</x:v>
      </x:c>
      <x:c r="D131" s="5" t="n">
        <x:f>100*('Quarterly inputs'!C132/'Quarterly inputs'!C131-1)</x:f>
        <x:v>1.0225672253315388</x:v>
      </x:c>
      <x:c r="E131" s="5" t="n">
        <x:f>'Quarterly inputs'!E132</x:f>
        <x:v>1.4761972884534</x:v>
      </x:c>
    </x:row>
    <x:row r="132" ht="21" customHeight="1">
      <x:c r="A132" s="1" t="str">
        <x:v>2009Q2</x:v>
      </x:c>
      <x:c r="B132" s="5" t="n">
        <x:f>100*('Quarterly inputs'!B133/'Quarterly inputs'!B132-1)</x:f>
        <x:v>-0.1786509506351064</x:v>
      </x:c>
      <x:c r="C132" s="5" t="n">
        <x:f>'Quarterly inputs'!D133</x:f>
        <x:v>1.137076923076923</x:v>
      </x:c>
      <x:c r="D132" s="5" t="n">
        <x:f>100*('Quarterly inputs'!C133/'Quarterly inputs'!C132-1)</x:f>
        <x:v>0.6470281173672987</x:v>
      </x:c>
      <x:c r="E132" s="5" t="n">
        <x:f>'Quarterly inputs'!E133</x:f>
        <x:v>0.927379379209721</x:v>
      </x:c>
    </x:row>
    <x:row r="133" ht="21" customHeight="1">
      <x:c r="A133" s="1" t="str">
        <x:v>2009Q3</x:v>
      </x:c>
      <x:c r="B133" s="5" t="n">
        <x:f>100*('Quarterly inputs'!B134/'Quarterly inputs'!B133-1)</x:f>
        <x:v>0.3511923951750484</x:v>
      </x:c>
      <x:c r="C133" s="5" t="n">
        <x:f>'Quarterly inputs'!D134</x:f>
        <x:v>0.3555384615384615</x:v>
      </x:c>
      <x:c r="D133" s="5" t="n">
        <x:f>100*('Quarterly inputs'!C134/'Quarterly inputs'!C133-1)</x:f>
        <x:v>0.3109759351155317</x:v>
      </x:c>
      <x:c r="E133" s="5" t="n">
        <x:f>'Quarterly inputs'!E134</x:f>
        <x:v>0.35994238230716</x:v>
      </x:c>
    </x:row>
    <x:row r="134" ht="21" customHeight="1">
      <x:c r="A134" s="1" t="str">
        <x:v>2009Q4</x:v>
      </x:c>
      <x:c r="B134" s="5" t="n">
        <x:f>100*('Quarterly inputs'!B135/'Quarterly inputs'!B134-1)</x:f>
        <x:v>1.0809136508185713</x:v>
      </x:c>
      <x:c r="C134" s="5" t="n">
        <x:f>'Quarterly inputs'!D135</x:f>
        <x:v>-0.008461538461538461</x:v>
      </x:c>
      <x:c r="D134" s="5" t="n">
        <x:f>100*('Quarterly inputs'!C135/'Quarterly inputs'!C134-1)</x:f>
        <x:v>0.8059883144460933</x:v>
      </x:c>
      <x:c r="E134" s="5" t="n">
        <x:f>'Quarterly inputs'!E135</x:f>
        <x:v>0.250980021718312</x:v>
      </x:c>
    </x:row>
    <x:row r="135" ht="21" customHeight="1">
      <x:c r="A135" s="1" t="str">
        <x:v>2010Q1</x:v>
      </x:c>
      <x:c r="B135" s="5" t="n">
        <x:f>100*('Quarterly inputs'!B136/'Quarterly inputs'!B135-1)</x:f>
        <x:v>0.48450095056860043</x:v>
      </x:c>
      <x:c r="C135" s="5" t="n">
        <x:f>'Quarterly inputs'!D136</x:f>
        <x:v>-0.24169230769230768</x:v>
      </x:c>
      <x:c r="D135" s="5" t="n">
        <x:f>100*('Quarterly inputs'!C136/'Quarterly inputs'!C135-1)</x:f>
        <x:v>0.459927813073846</x:v>
      </x:c>
      <x:c r="E135" s="5" t="n">
        <x:f>'Quarterly inputs'!E136</x:f>
        <x:v>0.106333470288117</x:v>
      </x:c>
    </x:row>
    <x:row r="136" ht="21" customHeight="1">
      <x:c r="A136" s="1" t="str">
        <x:v>2010Q2</x:v>
      </x:c>
      <x:c r="B136" s="5" t="n">
        <x:f>100*('Quarterly inputs'!B137/'Quarterly inputs'!B136-1)</x:f>
        <x:v>0.9675861183124024</x:v>
      </x:c>
      <x:c r="C136" s="5" t="n">
        <x:f>'Quarterly inputs'!D137</x:f>
        <x:v>-0.22046153846153846</x:v>
      </x:c>
      <x:c r="D136" s="5" t="n">
        <x:f>100*('Quarterly inputs'!C137/'Quarterly inputs'!C136-1)</x:f>
        <x:v>0.6422957081535952</x:v>
      </x:c>
      <x:c r="E136" s="5" t="n">
        <x:f>'Quarterly inputs'!E137</x:f>
        <x:v>0.27551162468084</x:v>
      </x:c>
    </x:row>
    <x:row r="137" ht="21" customHeight="1">
      <x:c r="A137" s="1" t="str">
        <x:v>2010Q3</x:v>
      </x:c>
      <x:c r="B137" s="5" t="n">
        <x:f>100*('Quarterly inputs'!B138/'Quarterly inputs'!B137-1)</x:f>
        <x:v>0.7710849360473171</x:v>
      </x:c>
      <x:c r="C137" s="5" t="n">
        <x:f>'Quarterly inputs'!D138</x:f>
        <x:v>-0.2373076923076923</x:v>
      </x:c>
      <x:c r="D137" s="5" t="n">
        <x:f>100*('Quarterly inputs'!C138/'Quarterly inputs'!C137-1)</x:f>
        <x:v>0.6663799618376487</x:v>
      </x:c>
      <x:c r="E137" s="5" t="n">
        <x:f>'Quarterly inputs'!E138</x:f>
        <x:v>0.169654462513009</x:v>
      </x:c>
    </x:row>
    <x:row r="138" ht="21" customHeight="1">
      <x:c r="A138" s="1" t="str">
        <x:v>2010Q4</x:v>
      </x:c>
      <x:c r="B138" s="5" t="n">
        <x:f>100*('Quarterly inputs'!B139/'Quarterly inputs'!B138-1)</x:f>
        <x:v>0.5251102608268665</x:v>
      </x:c>
      <x:c r="C138" s="5" t="n">
        <x:f>'Quarterly inputs'!D139</x:f>
        <x:v>-0.43535714285714283</x:v>
      </x:c>
      <x:c r="D138" s="5" t="n">
        <x:f>100*('Quarterly inputs'!C139/'Quarterly inputs'!C138-1)</x:f>
        <x:v>0.8359636497870193</x:v>
      </x:c>
      <x:c r="E138" s="5" t="n">
        <x:f>'Quarterly inputs'!E139</x:f>
        <x:v>0.0935621474941684</x:v>
      </x:c>
    </x:row>
    <x:row r="139" ht="21" customHeight="1">
      <x:c r="A139" s="1" t="str">
        <x:v>2011Q1</x:v>
      </x:c>
      <x:c r="B139" s="5" t="n">
        <x:f>100*('Quarterly inputs'!B140/'Quarterly inputs'!B139-1)</x:f>
        <x:v>-0.23720489710901127</x:v>
      </x:c>
      <x:c r="C139" s="5" t="n">
        <x:f>'Quarterly inputs'!D140</x:f>
        <x:v>-0.5634166666666667</x:v>
      </x:c>
      <x:c r="D139" s="5" t="n">
        <x:f>100*('Quarterly inputs'!C140/'Quarterly inputs'!C139-1)</x:f>
        <x:v>-0.27271100654218117</x:v>
      </x:c>
      <x:c r="E139" s="5" t="n">
        <x:f>'Quarterly inputs'!E140</x:f>
        <x:v>0.0704251430818768</x:v>
      </x:c>
    </x:row>
    <x:row r="140" ht="21" customHeight="1">
      <x:c r="A140" s="1" t="str">
        <x:v>2011Q2</x:v>
      </x:c>
      <x:c r="B140" s="5" t="n">
        <x:f>100*('Quarterly inputs'!B141/'Quarterly inputs'!B140-1)</x:f>
        <x:v>0.6765822931436682</x:v>
      </x:c>
      <x:c r="C140" s="5" t="n">
        <x:f>'Quarterly inputs'!D141</x:f>
        <x:v>-0.5603846153846154</x:v>
      </x:c>
      <x:c r="D140" s="5" t="n">
        <x:f>100*('Quarterly inputs'!C141/'Quarterly inputs'!C140-1)</x:f>
        <x:v>1.2256059459314628</x:v>
      </x:c>
      <x:c r="E140" s="5" t="n">
        <x:f>'Quarterly inputs'!E141</x:f>
        <x:v>0.0992395952818372</x:v>
      </x:c>
    </x:row>
    <x:row r="141" ht="21" customHeight="1">
      <x:c r="A141" s="1" t="str">
        <x:v>2011Q3</x:v>
      </x:c>
      <x:c r="B141" s="5" t="n">
        <x:f>100*('Quarterly inputs'!B142/'Quarterly inputs'!B141-1)</x:f>
        <x:v>-0.022312735917140447</x:v>
      </x:c>
      <x:c r="C141" s="5" t="n">
        <x:f>'Quarterly inputs'!D142</x:f>
        <x:v>-0.2467857142857143</x:v>
      </x:c>
      <x:c r="D141" s="5" t="n">
        <x:f>100*('Quarterly inputs'!C142/'Quarterly inputs'!C141-1)</x:f>
        <x:v>1.3578596953015776</x:v>
      </x:c>
      <x:c r="E141" s="5" t="n">
        <x:f>'Quarterly inputs'!E142</x:f>
        <x:v>0.362178161943217</x:v>
      </x:c>
    </x:row>
    <x:row r="142" ht="21" customHeight="1">
      <x:c r="A142" s="1" t="str">
        <x:v>2011Q4</x:v>
      </x:c>
      <x:c r="B142" s="5" t="n">
        <x:f>100*('Quarterly inputs'!B143/'Quarterly inputs'!B142-1)</x:f>
        <x:v>1.1230490567579965</x:v>
      </x:c>
      <x:c r="C142" s="5" t="n">
        <x:f>'Quarterly inputs'!D143</x:f>
        <x:v>-0.08676923076923078</x:v>
      </x:c>
      <x:c r="D142" s="5" t="n">
        <x:f>100*('Quarterly inputs'!C143/'Quarterly inputs'!C142-1)</x:f>
        <x:v>1.1111312111691918</x:v>
      </x:c>
      <x:c r="E142" s="5" t="n">
        <x:f>'Quarterly inputs'!E143</x:f>
        <x:v>0.263758099718035</x:v>
      </x:c>
    </x:row>
    <x:row r="143" ht="21" customHeight="1">
      <x:c r="A143" s="1" t="str">
        <x:v>2012Q1</x:v>
      </x:c>
      <x:c r="B143" s="5" t="n">
        <x:f>100*('Quarterly inputs'!B144/'Quarterly inputs'!B143-1)</x:f>
        <x:v>0.838590819971663</x:v>
      </x:c>
      <x:c r="C143" s="5" t="n">
        <x:f>'Quarterly inputs'!D144</x:f>
        <x:v>-0.35930769230769233</x:v>
      </x:c>
      <x:c r="D143" s="5" t="n">
        <x:f>100*('Quarterly inputs'!C144/'Quarterly inputs'!C143-1)</x:f>
        <x:v>1.0655237466677514</x:v>
      </x:c>
      <x:c r="E143" s="5" t="n">
        <x:f>'Quarterly inputs'!E144</x:f>
        <x:v>0.173876085980507</x:v>
      </x:c>
    </x:row>
    <x:row r="144" ht="21" customHeight="1">
      <x:c r="A144" s="1" t="str">
        <x:v>2012Q2</x:v>
      </x:c>
      <x:c r="B144" s="5" t="n">
        <x:f>100*('Quarterly inputs'!B145/'Quarterly inputs'!B144-1)</x:f>
        <x:v>0.4463347461653111</x:v>
      </x:c>
      <x:c r="C144" s="5" t="n">
        <x:f>'Quarterly inputs'!D145</x:f>
        <x:v>-0.3113076923076923</x:v>
      </x:c>
      <x:c r="D144" s="5" t="n">
        <x:f>100*('Quarterly inputs'!C145/'Quarterly inputs'!C144-1)</x:f>
        <x:v>0.7218739611997593</x:v>
      </x:c>
      <x:c r="E144" s="5" t="n">
        <x:f>'Quarterly inputs'!E145</x:f>
        <x:v>0.297910285258078</x:v>
      </x:c>
    </x:row>
    <x:row r="145" ht="21" customHeight="1">
      <x:c r="A145" s="1" t="str">
        <x:v>2012Q3</x:v>
      </x:c>
      <x:c r="B145" s="5" t="n">
        <x:f>100*('Quarterly inputs'!B146/'Quarterly inputs'!B145-1)</x:f>
        <x:v>0.14402799732293747</x:v>
      </x:c>
      <x:c r="C145" s="5" t="n">
        <x:f>'Quarterly inputs'!D146</x:f>
        <x:v>-0.4190769230769231</x:v>
      </x:c>
      <x:c r="D145" s="5" t="n">
        <x:f>100*('Quarterly inputs'!C146/'Quarterly inputs'!C145-1)</x:f>
        <x:v>0.5885925529567348</x:v>
      </x:c>
      <x:c r="E145" s="5" t="n">
        <x:f>'Quarterly inputs'!E146</x:f>
        <x:v>0.13617391121592</x:v>
      </x:c>
    </x:row>
    <x:row r="146" ht="21" customHeight="1">
      <x:c r="A146" s="1" t="str">
        <x:v>2012Q4</x:v>
      </x:c>
      <x:c r="B146" s="5" t="n">
        <x:f>100*('Quarterly inputs'!B147/'Quarterly inputs'!B146-1)</x:f>
        <x:v>0.11564055376036553</x:v>
      </x:c>
      <x:c r="C146" s="5" t="n">
        <x:f>'Quarterly inputs'!D147</x:f>
        <x:v>-0.5562307692307692</x:v>
      </x:c>
      <x:c r="D146" s="5" t="n">
        <x:f>100*('Quarterly inputs'!C147/'Quarterly inputs'!C146-1)</x:f>
        <x:v>0.43837595106031024</x:v>
      </x:c>
      <x:c r="E146" s="5" t="n">
        <x:f>'Quarterly inputs'!E147</x:f>
        <x:v>0.0889012774224726</x:v>
      </x:c>
    </x:row>
    <x:row r="147" ht="21" customHeight="1">
      <x:c r="A147" s="1" t="str">
        <x:v>2013Q1</x:v>
      </x:c>
      <x:c r="B147" s="5" t="n">
        <x:f>100*('Quarterly inputs'!B148/'Quarterly inputs'!B147-1)</x:f>
        <x:v>0.9865606638638447</x:v>
      </x:c>
      <x:c r="C147" s="5" t="n">
        <x:f>'Quarterly inputs'!D148</x:f>
        <x:v>-0.6434615384615385</x:v>
      </x:c>
      <x:c r="D147" s="5" t="n">
        <x:f>100*('Quarterly inputs'!C148/'Quarterly inputs'!C147-1)</x:f>
        <x:v>0.5447084224911691</x:v>
      </x:c>
      <x:c r="E147" s="5" t="n">
        <x:f>'Quarterly inputs'!E148</x:f>
        <x:v>-0.0745564419055965</x:v>
      </x:c>
    </x:row>
    <x:row r="148" ht="21" customHeight="1">
      <x:c r="A148" s="1" t="str">
        <x:v>2013Q2</x:v>
      </x:c>
      <x:c r="B148" s="5" t="n">
        <x:f>100*('Quarterly inputs'!B149/'Quarterly inputs'!B148-1)</x:f>
        <x:v>0.26763633481292626</x:v>
      </x:c>
      <x:c r="C148" s="5" t="n">
        <x:f>'Quarterly inputs'!D149</x:f>
        <x:v>-0.6803846153846155</x:v>
      </x:c>
      <x:c r="D148" s="5" t="n">
        <x:f>100*('Quarterly inputs'!C149/'Quarterly inputs'!C148-1)</x:f>
        <x:v>0.3698868999671312</x:v>
      </x:c>
      <x:c r="E148" s="5" t="n">
        <x:f>'Quarterly inputs'!E149</x:f>
        <x:v>0.0958705596429782</x:v>
      </x:c>
    </x:row>
    <x:row r="149" ht="21" customHeight="1">
      <x:c r="A149" s="1" t="str">
        <x:v>2013Q3</x:v>
      </x:c>
      <x:c r="B149" s="5" t="n">
        <x:f>100*('Quarterly inputs'!B150/'Quarterly inputs'!B149-1)</x:f>
        <x:v>0.851393569084391</x:v>
      </x:c>
      <x:c r="C149" s="5" t="n">
        <x:f>'Quarterly inputs'!D150</x:f>
        <x:v>-0.6584615384615385</x:v>
      </x:c>
      <x:c r="D149" s="5" t="n">
        <x:f>100*('Quarterly inputs'!C150/'Quarterly inputs'!C149-1)</x:f>
        <x:v>0.8104075405634736</x:v>
      </x:c>
      <x:c r="E149" s="5" t="n">
        <x:f>'Quarterly inputs'!E150</x:f>
        <x:v>-0.0590076610061276</x:v>
      </x:c>
    </x:row>
    <x:row r="150" ht="21" customHeight="1">
      <x:c r="A150" s="1" t="str">
        <x:v>2013Q4</x:v>
      </x:c>
      <x:c r="B150" s="5" t="n">
        <x:f>100*('Quarterly inputs'!B151/'Quarterly inputs'!B150-1)</x:f>
        <x:v>0.8717417534272576</x:v>
      </x:c>
      <x:c r="C150" s="5" t="n">
        <x:f>'Quarterly inputs'!D151</x:f>
        <x:v>-0.7434615384615384</x:v>
      </x:c>
      <x:c r="D150" s="5" t="n">
        <x:f>100*('Quarterly inputs'!C151/'Quarterly inputs'!C150-1)</x:f>
        <x:v>0.779952651839011</x:v>
      </x:c>
      <x:c r="E150" s="5" t="n">
        <x:f>'Quarterly inputs'!E151</x:f>
        <x:v>-0.017302091018306</x:v>
      </x:c>
    </x:row>
    <x:row r="151" ht="21" customHeight="1">
      <x:c r="A151" s="1" t="str">
        <x:v>2014Q1</x:v>
      </x:c>
      <x:c r="B151" s="5" t="n">
        <x:f>100*('Quarterly inputs'!B152/'Quarterly inputs'!B151-1)</x:f>
        <x:v>-0.34509598528477126</x:v>
      </x:c>
      <x:c r="C151" s="5" t="n">
        <x:f>'Quarterly inputs'!D152</x:f>
        <x:v>-0.7699230769230769</x:v>
      </x:c>
      <x:c r="D151" s="5" t="n">
        <x:f>100*('Quarterly inputs'!C152/'Quarterly inputs'!C151-1)</x:f>
        <x:v>0.8008762883682463</x:v>
      </x:c>
      <x:c r="E151" s="5" t="n">
        <x:f>'Quarterly inputs'!E152</x:f>
        <x:v>-0.0745666582217951</x:v>
      </x:c>
    </x:row>
    <x:row r="152" ht="21" customHeight="1">
      <x:c r="A152" s="1" t="str">
        <x:v>2014Q2</x:v>
      </x:c>
      <x:c r="B152" s="5" t="n">
        <x:f>100*('Quarterly inputs'!B153/'Quarterly inputs'!B152-1)</x:f>
        <x:v>1.2918421292132942</x:v>
      </x:c>
      <x:c r="C152" s="5" t="n">
        <x:f>'Quarterly inputs'!D153</x:f>
        <x:v>-0.7770769230769231</x:v>
      </x:c>
      <x:c r="D152" s="5" t="n">
        <x:f>100*('Quarterly inputs'!C153/'Quarterly inputs'!C152-1)</x:f>
        <x:v>0.4795508232226853</x:v>
      </x:c>
      <x:c r="E152" s="5" t="n">
        <x:f>'Quarterly inputs'!E153</x:f>
        <x:v>-0.108195309053033</x:v>
      </x:c>
    </x:row>
    <x:row r="153" ht="21" customHeight="1">
      <x:c r="A153" s="1" t="str">
        <x:v>2014Q3</x:v>
      </x:c>
      <x:c r="B153" s="5" t="n">
        <x:f>100*('Quarterly inputs'!B154/'Quarterly inputs'!B153-1)</x:f>
        <x:v>1.2153914093167906</x:v>
      </x:c>
      <x:c r="C153" s="5" t="n">
        <x:f>'Quarterly inputs'!D154</x:f>
        <x:v>-0.7230769230769231</x:v>
      </x:c>
      <x:c r="D153" s="5" t="n">
        <x:f>100*('Quarterly inputs'!C154/'Quarterly inputs'!C153-1)</x:f>
        <x:v>0.4031785209714256</x:v>
      </x:c>
      <x:c r="E153" s="5" t="n">
        <x:f>'Quarterly inputs'!E154</x:f>
        <x:v>-0.133384681513143</x:v>
      </x:c>
    </x:row>
    <x:row r="154" ht="21" customHeight="1">
      <x:c r="A154" s="1" t="str">
        <x:v>2014Q4</x:v>
      </x:c>
      <x:c r="B154" s="5" t="n">
        <x:f>100*('Quarterly inputs'!B155/'Quarterly inputs'!B154-1)</x:f>
        <x:v>0.5057331362120498</x:v>
      </x:c>
      <x:c r="C154" s="5" t="n">
        <x:f>'Quarterly inputs'!D155</x:f>
        <x:v>-0.6331538461538462</x:v>
      </x:c>
      <x:c r="D154" s="5" t="n">
        <x:f>100*('Quarterly inputs'!C155/'Quarterly inputs'!C154-1)</x:f>
        <x:v>0.3694866675194808</x:v>
      </x:c>
      <x:c r="E154" s="5" t="n">
        <x:f>'Quarterly inputs'!E155</x:f>
        <x:v>-0.101340896725444</x:v>
      </x:c>
    </x:row>
    <x:row r="155" ht="21" customHeight="1">
      <x:c r="A155" s="1" t="str">
        <x:v>2015Q1</x:v>
      </x:c>
      <x:c r="B155" s="5" t="n">
        <x:f>100*('Quarterly inputs'!B156/'Quarterly inputs'!B155-1)</x:f>
        <x:v>0.9004849775657187</x:v>
      </x:c>
      <x:c r="C155" s="5" t="n">
        <x:f>'Quarterly inputs'!D156</x:f>
        <x:v>-0.5223846153846154</x:v>
      </x:c>
      <x:c r="D155" s="5" t="n">
        <x:f>100*('Quarterly inputs'!C156/'Quarterly inputs'!C155-1)</x:f>
        <x:v>0.9793309813627804</x:v>
      </x:c>
      <x:c r="E155" s="5" t="n">
        <x:f>'Quarterly inputs'!E156</x:f>
        <x:v>-0.339700959578027</x:v>
      </x:c>
    </x:row>
    <x:row r="156" ht="21" customHeight="1">
      <x:c r="A156" s="1" t="str">
        <x:v>2015Q2</x:v>
      </x:c>
      <x:c r="B156" s="5" t="n">
        <x:f>100*('Quarterly inputs'!B157/'Quarterly inputs'!B156-1)</x:f>
        <x:v>0.6194050867588619</x:v>
      </x:c>
      <x:c r="C156" s="5" t="n">
        <x:f>'Quarterly inputs'!D157</x:f>
        <x:v>-0.5420769230769231</x:v>
      </x:c>
      <x:c r="D156" s="5" t="n">
        <x:f>100*('Quarterly inputs'!C157/'Quarterly inputs'!C156-1)</x:f>
        <x:v>0.09731256356413365</x:v>
      </x:c>
      <x:c r="E156" s="5" t="n">
        <x:f>'Quarterly inputs'!E157</x:f>
        <x:v>-0.257426864486975</x:v>
      </x:c>
    </x:row>
    <x:row r="157" ht="21" customHeight="1">
      <x:c r="A157" s="1" t="str">
        <x:v>2015Q3</x:v>
      </x:c>
      <x:c r="B157" s="5" t="n">
        <x:f>100*('Quarterly inputs'!B158/'Quarterly inputs'!B157-1)</x:f>
        <x:v>0.4002450612528241</x:v>
      </x:c>
      <x:c r="C157" s="5" t="n">
        <x:f>'Quarterly inputs'!D158</x:f>
        <x:v>-0.46007692307692305</x:v>
      </x:c>
      <x:c r="D157" s="5" t="n">
        <x:f>100*('Quarterly inputs'!C158/'Quarterly inputs'!C157-1)</x:f>
        <x:v>0.9891744514129552</x:v>
      </x:c>
      <x:c r="E157" s="5" t="n">
        <x:f>'Quarterly inputs'!E158</x:f>
        <x:v>-0.0756368258781003</x:v>
      </x:c>
    </x:row>
    <x:row r="158" ht="21" customHeight="1">
      <x:c r="A158" s="1" t="str">
        <x:v>2015Q4</x:v>
      </x:c>
      <x:c r="B158" s="5" t="n">
        <x:f>100*('Quarterly inputs'!B159/'Quarterly inputs'!B158-1)</x:f>
        <x:v>0.18447912646364362</x:v>
      </x:c>
      <x:c r="C158" s="5" t="n">
        <x:f>'Quarterly inputs'!D159</x:f>
        <x:v>-0.43</x:v>
      </x:c>
      <x:c r="D158" s="5" t="n">
        <x:f>100*('Quarterly inputs'!C159/'Quarterly inputs'!C158-1)</x:f>
        <x:v>0.6146892082868227</x:v>
      </x:c>
      <x:c r="E158" s="5" t="n">
        <x:f>'Quarterly inputs'!E159</x:f>
        <x:v>-0.13828533407012</x:v>
      </x:c>
    </x:row>
    <x:row r="159" ht="21" customHeight="1">
      <x:c r="A159" s="1" t="str">
        <x:v>2016Q1</x:v>
      </x:c>
      <x:c r="B159" s="5" t="n">
        <x:f>100*('Quarterly inputs'!B160/'Quarterly inputs'!B159-1)</x:f>
        <x:v>0.5795194060450148</x:v>
      </x:c>
      <x:c r="C159" s="5" t="n">
        <x:f>'Quarterly inputs'!D160</x:f>
        <x:v>-0.3220769230769231</x:v>
      </x:c>
      <x:c r="D159" s="5" t="n">
        <x:f>100*('Quarterly inputs'!C160/'Quarterly inputs'!C159-1)</x:f>
        <x:v>0.9256628191801175</x:v>
      </x:c>
      <x:c r="E159" s="5" t="n">
        <x:f>'Quarterly inputs'!E160</x:f>
        <x:v>-0.0671280861454414</x:v>
      </x:c>
    </x:row>
    <x:row r="160" ht="21" customHeight="1">
      <x:c r="A160" s="1" t="str">
        <x:v>2016Q2</x:v>
      </x:c>
      <x:c r="B160" s="5" t="n">
        <x:f>100*('Quarterly inputs'!B161/'Quarterly inputs'!B160-1)</x:f>
        <x:v>0.3211240684381167</x:v>
      </x:c>
      <x:c r="C160" s="5" t="n">
        <x:f>'Quarterly inputs'!D161</x:f>
        <x:v>-0.37146153846153845</x:v>
      </x:c>
      <x:c r="D160" s="5" t="n">
        <x:f>100*('Quarterly inputs'!C161/'Quarterly inputs'!C160-1)</x:f>
        <x:v>0.6409696693223665</x:v>
      </x:c>
      <x:c r="E160" s="5" t="n">
        <x:f>'Quarterly inputs'!E161</x:f>
        <x:v>-0.101059576004285</x:v>
      </x:c>
    </x:row>
    <x:row r="161" ht="21" customHeight="1">
      <x:c r="A161" s="1" t="str">
        <x:v>2016Q3</x:v>
      </x:c>
      <x:c r="B161" s="5" t="n">
        <x:f>100*('Quarterly inputs'!B162/'Quarterly inputs'!B161-1)</x:f>
        <x:v>0.7093902550786346</x:v>
      </x:c>
      <x:c r="C161" s="5" t="n">
        <x:f>'Quarterly inputs'!D162</x:f>
        <x:v>-0.34635714285714286</x:v>
      </x:c>
      <x:c r="D161" s="5" t="n">
        <x:f>100*('Quarterly inputs'!C162/'Quarterly inputs'!C161-1)</x:f>
        <x:v>0.005665943078514424</x:v>
      </x:c>
      <x:c r="E161" s="5" t="n">
        <x:f>'Quarterly inputs'!E162</x:f>
        <x:v>-0.117922020910666</x:v>
      </x:c>
    </x:row>
    <x:row r="162" ht="21" customHeight="1">
      <x:c r="A162" s="1" t="str">
        <x:v>2016Q4</x:v>
      </x:c>
      <x:c r="B162" s="5" t="n">
        <x:f>100*('Quarterly inputs'!B163/'Quarterly inputs'!B162-1)</x:f>
        <x:v>0.5542991127484687</x:v>
      </x:c>
      <x:c r="C162" s="5" t="n">
        <x:f>'Quarterly inputs'!D163</x:f>
        <x:v>-0.4097692307692308</x:v>
      </x:c>
      <x:c r="D162" s="5" t="n">
        <x:f>100*('Quarterly inputs'!C163/'Quarterly inputs'!C162-1)</x:f>
        <x:v>1.1543704962730938</x:v>
      </x:c>
      <x:c r="E162" s="5" t="n">
        <x:f>'Quarterly inputs'!E163</x:f>
        <x:v>-0.138248755325419</x:v>
      </x:c>
    </x:row>
    <x:row r="163" ht="21" customHeight="1">
      <x:c r="A163" s="1" t="str">
        <x:v>2017Q1</x:v>
      </x:c>
      <x:c r="B163" s="5" t="n">
        <x:f>100*('Quarterly inputs'!B164/'Quarterly inputs'!B163-1)</x:f>
        <x:v>0.48689021004175714</x:v>
      </x:c>
      <x:c r="C163" s="5" t="n">
        <x:f>'Quarterly inputs'!D164</x:f>
        <x:v>-0.4807692307692308</x:v>
      </x:c>
      <x:c r="D163" s="5" t="n">
        <x:f>100*('Quarterly inputs'!C164/'Quarterly inputs'!C163-1)</x:f>
        <x:v>0.3320322755675287</x:v>
      </x:c>
      <x:c r="E163" s="5" t="n">
        <x:f>'Quarterly inputs'!E164</x:f>
        <x:v>-0.182931246390092</x:v>
      </x:c>
    </x:row>
    <x:row r="164" ht="21" customHeight="1">
      <x:c r="A164" s="1" t="str">
        <x:v>2017Q2</x:v>
      </x:c>
      <x:c r="B164" s="5" t="n">
        <x:f>100*('Quarterly inputs'!B165/'Quarterly inputs'!B164-1)</x:f>
        <x:v>0.5598725623111145</x:v>
      </x:c>
      <x:c r="C164" s="5" t="n">
        <x:f>'Quarterly inputs'!D165</x:f>
        <x:v>-0.5296153846153846</x:v>
      </x:c>
      <x:c r="D164" s="5" t="n">
        <x:f>100*('Quarterly inputs'!C165/'Quarterly inputs'!C164-1)</x:f>
        <x:v>0.5728969500738756</x:v>
      </x:c>
      <x:c r="E164" s="5" t="n">
        <x:f>'Quarterly inputs'!E165</x:f>
        <x:v>-0.119794313164925</x:v>
      </x:c>
    </x:row>
    <x:row r="165" ht="21" customHeight="1">
      <x:c r="A165" s="1" t="str">
        <x:v>2017Q3</x:v>
      </x:c>
      <x:c r="B165" s="5" t="n">
        <x:f>100*('Quarterly inputs'!B166/'Quarterly inputs'!B165-1)</x:f>
        <x:v>0.7885241305547019</x:v>
      </x:c>
      <x:c r="C165" s="5" t="n">
        <x:f>'Quarterly inputs'!D166</x:f>
        <x:v>-0.5655384615384615</x:v>
      </x:c>
      <x:c r="D165" s="5" t="n">
        <x:f>100*('Quarterly inputs'!C166/'Quarterly inputs'!C165-1)</x:f>
        <x:v>0.958698099429145</x:v>
      </x:c>
      <x:c r="E165" s="5" t="n">
        <x:f>'Quarterly inputs'!E166</x:f>
        <x:v>-0.0795061611720005</x:v>
      </x:c>
    </x:row>
    <x:row r="166" ht="21" customHeight="1">
      <x:c r="A166" s="1" t="str">
        <x:v>2017Q4</x:v>
      </x:c>
      <x:c r="B166" s="5" t="n">
        <x:f>100*('Quarterly inputs'!B167/'Quarterly inputs'!B166-1)</x:f>
        <x:v>1.1270466267692791</x:v>
      </x:c>
      <x:c r="C166" s="5" t="n">
        <x:f>'Quarterly inputs'!D167</x:f>
        <x:v>-0.5981538461538461</x:v>
      </x:c>
      <x:c r="D166" s="5" t="n">
        <x:f>100*('Quarterly inputs'!C167/'Quarterly inputs'!C166-1)</x:f>
        <x:v>0.39172700064256105</x:v>
      </x:c>
      <x:c r="E166" s="5" t="n">
        <x:f>'Quarterly inputs'!E167</x:f>
        <x:v>-0.188281128134263</x:v>
      </x:c>
    </x:row>
    <x:row r="167" ht="21" customHeight="1">
      <x:c r="A167" s="1" t="str">
        <x:v>2018Q1</x:v>
      </x:c>
      <x:c r="B167" s="5" t="n">
        <x:f>100*('Quarterly inputs'!B168/'Quarterly inputs'!B167-1)</x:f>
        <x:v>0.8134098018182323</x:v>
      </x:c>
      <x:c r="C167" s="5" t="n">
        <x:f>'Quarterly inputs'!D168</x:f>
        <x:v>-0.5586923076923077</x:v>
      </x:c>
      <x:c r="D167" s="5" t="n">
        <x:f>100*('Quarterly inputs'!C168/'Quarterly inputs'!C167-1)</x:f>
        <x:v>1.0626063205309455</x:v>
      </x:c>
      <x:c r="E167" s="5" t="n">
        <x:f>'Quarterly inputs'!E168</x:f>
        <x:v>-0.0799821965113474</x:v>
      </x:c>
    </x:row>
    <x:row r="168" ht="21" customHeight="1">
      <x:c r="A168" s="1" t="str">
        <x:v>2018Q2</x:v>
      </x:c>
      <x:c r="B168" s="5" t="n">
        <x:f>100*('Quarterly inputs'!B169/'Quarterly inputs'!B168-1)</x:f>
        <x:v>0.5308251410129694</x:v>
      </x:c>
      <x:c r="C168" s="5" t="n">
        <x:f>'Quarterly inputs'!D169</x:f>
        <x:v>-0.5420769230769231</x:v>
      </x:c>
      <x:c r="D168" s="5" t="n">
        <x:f>100*('Quarterly inputs'!C169/'Quarterly inputs'!C168-1)</x:f>
        <x:v>0.7056408936424674</x:v>
      </x:c>
      <x:c r="E168" s="5" t="n">
        <x:f>'Quarterly inputs'!E169</x:f>
        <x:v>-0.109950136875591</x:v>
      </x:c>
    </x:row>
    <x:row r="169" ht="21" customHeight="1">
      <x:c r="A169" s="1" t="str">
        <x:v>2018Q3</x:v>
      </x:c>
      <x:c r="B169" s="5" t="n">
        <x:f>100*('Quarterly inputs'!B170/'Quarterly inputs'!B169-1)</x:f>
        <x:v>0.6236974253114314</x:v>
      </x:c>
      <x:c r="C169" s="5" t="n">
        <x:f>'Quarterly inputs'!D170</x:f>
        <x:v>-0.5773846153846154</x:v>
      </x:c>
      <x:c r="D169" s="5" t="n">
        <x:f>100*('Quarterly inputs'!C170/'Quarterly inputs'!C169-1)</x:f>
        <x:v>0.3835586032480576</x:v>
      </x:c>
      <x:c r="E169" s="5" t="n">
        <x:f>'Quarterly inputs'!E170</x:f>
        <x:v>-0.127922849792257</x:v>
      </x:c>
    </x:row>
    <x:row r="170" ht="21" customHeight="1">
      <x:c r="A170" s="1" t="str">
        <x:v>2018Q4</x:v>
      </x:c>
      <x:c r="B170" s="5" t="n">
        <x:f>100*('Quarterly inputs'!B171/'Quarterly inputs'!B170-1)</x:f>
        <x:v>0.1416442191157108</x:v>
      </x:c>
      <x:c r="C170" s="5" t="n">
        <x:f>'Quarterly inputs'!D171</x:f>
        <x:v>-0.4993076923076923</x:v>
      </x:c>
      <x:c r="D170" s="5" t="n">
        <x:f>100*('Quarterly inputs'!C171/'Quarterly inputs'!C170-1)</x:f>
        <x:v>0.23970853050798713</x:v>
      </x:c>
      <x:c r="E170" s="5" t="n">
        <x:f>'Quarterly inputs'!E171</x:f>
        <x:v>0.173020119816201</x:v>
      </x:c>
    </x:row>
    <x:row r="171" ht="21" customHeight="1">
      <x:c r="A171" s="1" t="str">
        <x:v>2019Q1</x:v>
      </x:c>
      <x:c r="B171" s="5" t="n">
        <x:f>100*('Quarterly inputs'!B172/'Quarterly inputs'!B171-1)</x:f>
        <x:v>0.6243180824466066</x:v>
      </x:c>
      <x:c r="C171" s="5" t="n">
        <x:f>'Quarterly inputs'!D172</x:f>
        <x:v>-0.5460769230769231</x:v>
      </x:c>
      <x:c r="D171" s="5" t="n">
        <x:f>100*('Quarterly inputs'!C172/'Quarterly inputs'!C171-1)</x:f>
        <x:v>0.7879265916451272</x:v>
      </x:c>
      <x:c r="E171" s="5" t="n">
        <x:f>'Quarterly inputs'!E172</x:f>
        <x:v>0.0406773836187762</x:v>
      </x:c>
    </x:row>
    <x:row r="172" ht="21" customHeight="1">
      <x:c r="A172" s="1" t="str">
        <x:v>2019Q2</x:v>
      </x:c>
      <x:c r="B172" s="5" t="n">
        <x:f>100*('Quarterly inputs'!B173/'Quarterly inputs'!B172-1)</x:f>
        <x:v>0.8351458407085399</x:v>
      </x:c>
      <x:c r="C172" s="5" t="n">
        <x:f>'Quarterly inputs'!D173</x:f>
        <x:v>-0.5933076923076922</x:v>
      </x:c>
      <x:c r="D172" s="5" t="n">
        <x:f>100*('Quarterly inputs'!C173/'Quarterly inputs'!C172-1)</x:f>
        <x:v>0.2566649146688693</x:v>
      </x:c>
      <x:c r="E172" s="5" t="n">
        <x:f>'Quarterly inputs'!E173</x:f>
        <x:v>-0.0355424187676245</x:v>
      </x:c>
    </x:row>
    <x:row r="173" ht="21" customHeight="1">
      <x:c r="A173" s="1" t="str">
        <x:v>2019Q3</x:v>
      </x:c>
      <x:c r="B173" s="5" t="n">
        <x:f>100*('Quarterly inputs'!B174/'Quarterly inputs'!B173-1)</x:f>
        <x:v>1.170001856591063</x:v>
      </x:c>
      <x:c r="C173" s="5" t="n">
        <x:f>'Quarterly inputs'!D174</x:f>
        <x:v>-0.5459230769230768</x:v>
      </x:c>
      <x:c r="D173" s="5" t="n">
        <x:f>100*('Quarterly inputs'!C174/'Quarterly inputs'!C173-1)</x:f>
        <x:v>0.5765137620747929</x:v>
      </x:c>
      <x:c r="E173" s="5" t="n">
        <x:f>'Quarterly inputs'!E174</x:f>
        <x:v>-0.0718830858817785</x:v>
      </x:c>
    </x:row>
    <x:row r="174" ht="21" customHeight="1">
      <x:c r="A174" s="1" t="str">
        <x:v>2019Q4</x:v>
      </x:c>
      <x:c r="B174" s="5" t="n">
        <x:f>100*('Quarterly inputs'!B175/'Quarterly inputs'!B174-1)</x:f>
        <x:v>0.6818778695641736</x:v>
      </x:c>
      <x:c r="C174" s="5" t="n">
        <x:f>'Quarterly inputs'!D175</x:f>
        <x:v>-0.5523846153846154</x:v>
      </x:c>
      <x:c r="D174" s="5" t="n">
        <x:f>100*('Quarterly inputs'!C175/'Quarterly inputs'!C174-1)</x:f>
        <x:v>0.5881724231487029</x:v>
      </x:c>
      <x:c r="E174" s="5" t="n">
        <x:f>'Quarterly inputs'!E175</x:f>
        <x:v>-0.0868064940699503</x:v>
      </x:c>
    </x:row>
    <x:row r="175" ht="21" customHeight="1">
      <x:c r="A175" s="1" t="str">
        <x:v>2020Q1</x:v>
      </x:c>
      <x:c r="B175" s="5" t="n">
        <x:f>100*('Quarterly inputs'!B176/'Quarterly inputs'!B175-1)</x:f>
        <x:v>-1.3163216720462723</x:v>
      </x:c>
      <x:c r="C175" s="5" t="n">
        <x:f>'Quarterly inputs'!D176</x:f>
        <x:v>-0.3475384615384615</x:v>
      </x:c>
      <x:c r="D175" s="5" t="n">
        <x:f>100*('Quarterly inputs'!C176/'Quarterly inputs'!C175-1)</x:f>
        <x:v>-0.15693146672072222</x:v>
      </x:c>
      <x:c r="E175" s="5" t="n">
        <x:f>'Quarterly inputs'!E176</x:f>
        <x:v>0.65710691423763</x:v>
      </x:c>
    </x:row>
    <x:row r="176" ht="21" customHeight="1">
      <x:c r="A176" s="1" t="str">
        <x:v>2020Q2</x:v>
      </x:c>
      <x:c r="B176" s="5" t="n">
        <x:f>100*('Quarterly inputs'!B177/'Quarterly inputs'!B176-1)</x:f>
        <x:v>-7.876784495711386</x:v>
      </x:c>
      <x:c r="C176" s="5" t="n">
        <x:f>'Quarterly inputs'!D177</x:f>
        <x:v>-0.07653846153846154</x:v>
      </x:c>
      <x:c r="D176" s="5" t="n">
        <x:f>100*('Quarterly inputs'!C177/'Quarterly inputs'!C176-1)</x:f>
        <x:v>-6.789603976606651</x:v>
      </x:c>
      <x:c r="E176" s="5" t="n">
        <x:f>'Quarterly inputs'!E177</x:f>
        <x:v>0.494225304310129</x:v>
      </x:c>
    </x:row>
    <x:row r="177" ht="21" customHeight="1">
      <x:c r="A177" s="1" t="str">
        <x:v>2020Q3</x:v>
      </x:c>
      <x:c r="B177" s="5" t="n">
        <x:f>100*('Quarterly inputs'!B178/'Quarterly inputs'!B177-1)</x:f>
        <x:v>7.762279174873354</x:v>
      </x:c>
      <x:c r="C177" s="5" t="n">
        <x:f>'Quarterly inputs'!D178</x:f>
        <x:v>-0.4756923076923077</x:v>
      </x:c>
      <x:c r="D177" s="5" t="n">
        <x:f>100*('Quarterly inputs'!C178/'Quarterly inputs'!C177-1)</x:f>
        <x:v>3.4382393909745845</x:v>
      </x:c>
      <x:c r="E177" s="5" t="n">
        <x:f>'Quarterly inputs'!E178</x:f>
        <x:v>0.486888148730927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6" customHeight="1">
      <x:c r="A1" s="4" t="str">
        <x:v>quarter</x:v>
      </x:c>
      <x:c r="B1" s="4" t="str">
        <x:v>us_real_gdp_bn_2017_usd_saar</x:v>
      </x:c>
      <x:c r="C1" s="4" t="str">
        <x:v>aus_real_gdp_mn_aud_sa</x:v>
      </x:c>
      <x:c r="D1" s="4" t="str">
        <x:v>us_nfci_quarterly_mean</x:v>
      </x:c>
      <x:c r="E1" s="4" t="str">
        <x:v>aus_fci_rba</x:v>
      </x:c>
      <x:c r="F1" s="4" t="str">
        <x:v>us_nfci_week_count</x:v>
      </x:c>
    </x:row>
    <x:row r="2" ht="21" customHeight="1">
      <x:c r="A2" s="1" t="str">
        <x:v>1976Q3</x:v>
      </x:c>
      <x:c r="B2" s="5" t="n">
        <x:v>6404.895</x:v>
      </x:c>
      <x:c r="C2" s="5" t="n">
        <x:v>166395</x:v>
      </x:c>
      <x:c r="D2" s="5" t="n">
        <x:v>-0.645076923076923</x:v>
      </x:c>
      <x:c r="E2" s="5"/>
      <x:c r="F2" s="6" t="n">
        <x:v>13</x:v>
      </x:c>
    </x:row>
    <x:row r="3" ht="21" customHeight="1">
      <x:c r="A3" s="1" t="str">
        <x:v>1976Q4</x:v>
      </x:c>
      <x:c r="B3" s="5" t="n">
        <x:v>6451.177</x:v>
      </x:c>
      <x:c r="C3" s="5" t="n">
        <x:v>167827</x:v>
      </x:c>
      <x:c r="D3" s="5" t="n">
        <x:v>-0.6951428571428571</x:v>
      </x:c>
      <x:c r="E3" s="5" t="n">
        <x:v>0.371798864730514</x:v>
      </x:c>
      <x:c r="F3" s="6" t="n">
        <x:v>14</x:v>
      </x:c>
    </x:row>
    <x:row r="4" ht="21" customHeight="1">
      <x:c r="A4" s="1" t="str">
        <x:v>1977Q1</x:v>
      </x:c>
      <x:c r="B4" s="5" t="n">
        <x:v>6527.703</x:v>
      </x:c>
      <x:c r="C4" s="5" t="n">
        <x:v>166942</x:v>
      </x:c>
      <x:c r="D4" s="5" t="n">
        <x:v>-0.8941666666666667</x:v>
      </x:c>
      <x:c r="E4" s="5" t="n">
        <x:v>0.371079193113271</x:v>
      </x:c>
      <x:c r="F4" s="6" t="n">
        <x:v>12</x:v>
      </x:c>
    </x:row>
    <x:row r="5" ht="21" customHeight="1">
      <x:c r="A5" s="1" t="str">
        <x:v>1977Q2</x:v>
      </x:c>
      <x:c r="B5" s="5" t="n">
        <x:v>6654.466</x:v>
      </x:c>
      <x:c r="C5" s="5" t="n">
        <x:v>169289</x:v>
      </x:c>
      <x:c r="D5" s="5" t="n">
        <x:v>-0.6064615384615385</x:v>
      </x:c>
      <x:c r="E5" s="5" t="n">
        <x:v>0.194786068281702</x:v>
      </x:c>
      <x:c r="F5" s="6" t="n">
        <x:v>13</x:v>
      </x:c>
    </x:row>
    <x:row r="6" ht="21" customHeight="1">
      <x:c r="A6" s="1" t="str">
        <x:v>1977Q3</x:v>
      </x:c>
      <x:c r="B6" s="5" t="n">
        <x:v>6774.457</x:v>
      </x:c>
      <x:c r="C6" s="5" t="n">
        <x:v>168561</x:v>
      </x:c>
      <x:c r="D6" s="5" t="n">
        <x:v>-0.4724285714285714</x:v>
      </x:c>
      <x:c r="E6" s="5" t="n">
        <x:v>0.303784800916373</x:v>
      </x:c>
      <x:c r="F6" s="6" t="n">
        <x:v>14</x:v>
      </x:c>
    </x:row>
    <x:row r="7" ht="21" customHeight="1">
      <x:c r="A7" s="1" t="str">
        <x:v>1977Q4</x:v>
      </x:c>
      <x:c r="B7" s="5" t="n">
        <x:v>6774.592</x:v>
      </x:c>
      <x:c r="C7" s="5" t="n">
        <x:v>168036</x:v>
      </x:c>
      <x:c r="D7" s="5" t="n">
        <x:v>-0.2530769230769231</x:v>
      </x:c>
      <x:c r="E7" s="5" t="n">
        <x:v>0.273970182951592</x:v>
      </x:c>
      <x:c r="F7" s="6" t="n">
        <x:v>13</x:v>
      </x:c>
    </x:row>
    <x:row r="8" ht="21" customHeight="1">
      <x:c r="A8" s="1" t="str">
        <x:v>1978Q1</x:v>
      </x:c>
      <x:c r="B8" s="5" t="n">
        <x:v>6796.26</x:v>
      </x:c>
      <x:c r="C8" s="5" t="n">
        <x:v>169227</x:v>
      </x:c>
      <x:c r="D8" s="5" t="n">
        <x:v>-0.1950769230769231</x:v>
      </x:c>
      <x:c r="E8" s="5" t="n">
        <x:v>0.380612139637898</x:v>
      </x:c>
      <x:c r="F8" s="6" t="n">
        <x:v>13</x:v>
      </x:c>
    </x:row>
    <x:row r="9" ht="21" customHeight="1">
      <x:c r="A9" s="1" t="str">
        <x:v>1978Q2</x:v>
      </x:c>
      <x:c r="B9" s="5" t="n">
        <x:v>7058.92</x:v>
      </x:c>
      <x:c r="C9" s="5" t="n">
        <x:v>170633</x:v>
      </x:c>
      <x:c r="D9" s="5" t="n">
        <x:v>0.4383846153846154</x:v>
      </x:c>
      <x:c r="E9" s="5" t="n">
        <x:v>0.0984550683895609</x:v>
      </x:c>
      <x:c r="F9" s="6" t="n">
        <x:v>13</x:v>
      </x:c>
    </x:row>
    <x:row r="10" ht="21" customHeight="1">
      <x:c r="A10" s="1" t="str">
        <x:v>1978Q3</x:v>
      </x:c>
      <x:c r="B10" s="5" t="n">
        <x:v>7129.915</x:v>
      </x:c>
      <x:c r="C10" s="5" t="n">
        <x:v>173227</x:v>
      </x:c>
      <x:c r="D10" s="5" t="n">
        <x:v>0.5990769230769231</x:v>
      </x:c>
      <x:c r="E10" s="5" t="n">
        <x:v>-0.195162306980812</x:v>
      </x:c>
      <x:c r="F10" s="6" t="n">
        <x:v>13</x:v>
      </x:c>
    </x:row>
    <x:row r="11" ht="21" customHeight="1">
      <x:c r="A11" s="1" t="str">
        <x:v>1978Q4</x:v>
      </x:c>
      <x:c r="B11" s="5" t="n">
        <x:v>7225.75</x:v>
      </x:c>
      <x:c r="C11" s="5" t="n">
        <x:v>174628</x:v>
      </x:c>
      <x:c r="D11" s="5" t="n">
        <x:v>1.7375384615384617</x:v>
      </x:c>
      <x:c r="E11" s="5" t="n">
        <x:v>0.0088427259193462</x:v>
      </x:c>
      <x:c r="F11" s="6" t="n">
        <x:v>13</x:v>
      </x:c>
    </x:row>
    <x:row r="12" ht="21" customHeight="1">
      <x:c r="A12" s="1" t="str">
        <x:v>1979Q1</x:v>
      </x:c>
      <x:c r="B12" s="5" t="n">
        <x:v>7238.727</x:v>
      </x:c>
      <x:c r="C12" s="5" t="n">
        <x:v>179454</x:v>
      </x:c>
      <x:c r="D12" s="5" t="n">
        <x:v>0.8063846153846155</x:v>
      </x:c>
      <x:c r="E12" s="5" t="n">
        <x:v>-0.0850943889992822</x:v>
      </x:c>
      <x:c r="F12" s="6" t="n">
        <x:v>13</x:v>
      </x:c>
    </x:row>
    <x:row r="13" ht="21" customHeight="1">
      <x:c r="A13" s="1" t="str">
        <x:v>1979Q2</x:v>
      </x:c>
      <x:c r="B13" s="5" t="n">
        <x:v>7246.454</x:v>
      </x:c>
      <x:c r="C13" s="5" t="n">
        <x:v>176554</x:v>
      </x:c>
      <x:c r="D13" s="5" t="n">
        <x:v>0.4492307692307692</x:v>
      </x:c>
      <x:c r="E13" s="5" t="n">
        <x:v>0.0114800135566107</x:v>
      </x:c>
      <x:c r="F13" s="6" t="n">
        <x:v>13</x:v>
      </x:c>
    </x:row>
    <x:row r="14" ht="21" customHeight="1">
      <x:c r="A14" s="1" t="str">
        <x:v>1979Q3</x:v>
      </x:c>
      <x:c r="B14" s="5" t="n">
        <x:v>7300.281</x:v>
      </x:c>
      <x:c r="C14" s="5" t="n">
        <x:v>178192</x:v>
      </x:c>
      <x:c r="D14" s="5" t="n">
        <x:v>1.5118461538461538</x:v>
      </x:c>
      <x:c r="E14" s="5" t="n">
        <x:v>-0.192783284710418</x:v>
      </x:c>
      <x:c r="F14" s="6" t="n">
        <x:v>13</x:v>
      </x:c>
    </x:row>
    <x:row r="15" ht="21" customHeight="1">
      <x:c r="A15" s="1" t="str">
        <x:v>1979Q4</x:v>
      </x:c>
      <x:c r="B15" s="5" t="n">
        <x:v>7318.535</x:v>
      </x:c>
      <x:c r="C15" s="5" t="n">
        <x:v>181615</x:v>
      </x:c>
      <x:c r="D15" s="5" t="n">
        <x:v>2.311230769230769</x:v>
      </x:c>
      <x:c r="E15" s="5" t="n">
        <x:v>-0.121809731879389</x:v>
      </x:c>
      <x:c r="F15" s="6" t="n">
        <x:v>13</x:v>
      </x:c>
    </x:row>
    <x:row r="16" ht="21" customHeight="1">
      <x:c r="A16" s="1" t="str">
        <x:v>1980Q1</x:v>
      </x:c>
      <x:c r="B16" s="5" t="n">
        <x:v>7341.557</x:v>
      </x:c>
      <x:c r="C16" s="5" t="n">
        <x:v>182487</x:v>
      </x:c>
      <x:c r="D16" s="5" t="n">
        <x:v>2.4526153846153846</x:v>
      </x:c>
      <x:c r="E16" s="5" t="n">
        <x:v>-0.274808861791302</x:v>
      </x:c>
      <x:c r="F16" s="6" t="n">
        <x:v>13</x:v>
      </x:c>
    </x:row>
    <x:row r="17" ht="21" customHeight="1">
      <x:c r="A17" s="1" t="str">
        <x:v>1980Q2</x:v>
      </x:c>
      <x:c r="B17" s="5" t="n">
        <x:v>7190.289</x:v>
      </x:c>
      <x:c r="C17" s="5" t="n">
        <x:v>182931</x:v>
      </x:c>
      <x:c r="D17" s="5" t="n">
        <x:v>3.0881538461538462</x:v>
      </x:c>
      <x:c r="E17" s="5" t="n">
        <x:v>-0.358085219316941</x:v>
      </x:c>
      <x:c r="F17" s="6" t="n">
        <x:v>13</x:v>
      </x:c>
    </x:row>
    <x:row r="18" ht="21" customHeight="1">
      <x:c r="A18" s="1" t="str">
        <x:v>1980Q3</x:v>
      </x:c>
      <x:c r="B18" s="5" t="n">
        <x:v>7181.743</x:v>
      </x:c>
      <x:c r="C18" s="5" t="n">
        <x:v>183921</x:v>
      </x:c>
      <x:c r="D18" s="5" t="n">
        <x:v>0.9611538461538462</x:v>
      </x:c>
      <x:c r="E18" s="5" t="n">
        <x:v>-0.541546613664784</x:v>
      </x:c>
      <x:c r="F18" s="6" t="n">
        <x:v>13</x:v>
      </x:c>
    </x:row>
    <x:row r="19" ht="21" customHeight="1">
      <x:c r="A19" s="1" t="str">
        <x:v>1980Q4</x:v>
      </x:c>
      <x:c r="B19" s="5" t="n">
        <x:v>7315.677</x:v>
      </x:c>
      <x:c r="C19" s="5" t="n">
        <x:v>187060</x:v>
      </x:c>
      <x:c r="D19" s="5" t="n">
        <x:v>2.4114615384615385</x:v>
      </x:c>
      <x:c r="E19" s="5" t="n">
        <x:v>-0.560256684992767</x:v>
      </x:c>
      <x:c r="F19" s="6" t="n">
        <x:v>13</x:v>
      </x:c>
    </x:row>
    <x:row r="20" ht="21" customHeight="1">
      <x:c r="A20" s="1" t="str">
        <x:v>1981Q1</x:v>
      </x:c>
      <x:c r="B20" s="5" t="n">
        <x:v>7459.022</x:v>
      </x:c>
      <x:c r="C20" s="5" t="n">
        <x:v>187785</x:v>
      </x:c>
      <x:c r="D20" s="5" t="n">
        <x:v>2.3892307692307693</x:v>
      </x:c>
      <x:c r="E20" s="5" t="n">
        <x:v>-0.662040466170715</x:v>
      </x:c>
      <x:c r="F20" s="6" t="n">
        <x:v>13</x:v>
      </x:c>
    </x:row>
    <x:row r="21" ht="21" customHeight="1">
      <x:c r="A21" s="1" t="str">
        <x:v>1981Q2</x:v>
      </x:c>
      <x:c r="B21" s="5" t="n">
        <x:v>7403.745</x:v>
      </x:c>
      <x:c r="C21" s="5" t="n">
        <x:v>190697</x:v>
      </x:c>
      <x:c r="D21" s="5" t="n">
        <x:v>2.424076923076923</x:v>
      </x:c>
      <x:c r="E21" s="5" t="n">
        <x:v>-0.721986382583122</x:v>
      </x:c>
      <x:c r="F21" s="6" t="n">
        <x:v>13</x:v>
      </x:c>
    </x:row>
    <x:row r="22" ht="21" customHeight="1">
      <x:c r="A22" s="1" t="str">
        <x:v>1981Q3</x:v>
      </x:c>
      <x:c r="B22" s="5" t="n">
        <x:v>7492.405</x:v>
      </x:c>
      <x:c r="C22" s="5" t="n">
        <x:v>194547</x:v>
      </x:c>
      <x:c r="D22" s="5" t="n">
        <x:v>3.342461538461538</x:v>
      </x:c>
      <x:c r="E22" s="5" t="n">
        <x:v>-0.349714525080875</x:v>
      </x:c>
      <x:c r="F22" s="6" t="n">
        <x:v>13</x:v>
      </x:c>
    </x:row>
    <x:row r="23" ht="21" customHeight="1">
      <x:c r="A23" s="1" t="str">
        <x:v>1981Q4</x:v>
      </x:c>
      <x:c r="B23" s="5" t="n">
        <x:v>7410.768</x:v>
      </x:c>
      <x:c r="C23" s="5" t="n">
        <x:v>193739</x:v>
      </x:c>
      <x:c r="D23" s="5" t="n">
        <x:v>2.5391538461538463</x:v>
      </x:c>
      <x:c r="E23" s="5" t="n">
        <x:v>-0.347485551486287</x:v>
      </x:c>
      <x:c r="F23" s="6" t="n">
        <x:v>13</x:v>
      </x:c>
    </x:row>
    <x:row r="24" ht="21" customHeight="1">
      <x:c r="A24" s="1" t="str">
        <x:v>1982Q1</x:v>
      </x:c>
      <x:c r="B24" s="5" t="n">
        <x:v>7295.631</x:v>
      </x:c>
      <x:c r="C24" s="5" t="n">
        <x:v>192212</x:v>
      </x:c>
      <x:c r="D24" s="5" t="n">
        <x:v>1.9943076923076921</x:v>
      </x:c>
      <x:c r="E24" s="5" t="n">
        <x:v>0.205965603023861</x:v>
      </x:c>
      <x:c r="F24" s="6" t="n">
        <x:v>13</x:v>
      </x:c>
    </x:row>
    <x:row r="25" ht="21" customHeight="1">
      <x:c r="A25" s="1" t="str">
        <x:v>1982Q2</x:v>
      </x:c>
      <x:c r="B25" s="5" t="n">
        <x:v>7328.912</x:v>
      </x:c>
      <x:c r="C25" s="5" t="n">
        <x:v>193911</x:v>
      </x:c>
      <x:c r="D25" s="5" t="n">
        <x:v>2.4702307692307692</x:v>
      </x:c>
      <x:c r="E25" s="5" t="n">
        <x:v>0.286039344373024</x:v>
      </x:c>
      <x:c r="F25" s="6" t="n">
        <x:v>13</x:v>
      </x:c>
    </x:row>
    <x:row r="26" ht="21" customHeight="1">
      <x:c r="A26" s="1" t="str">
        <x:v>1982Q3</x:v>
      </x:c>
      <x:c r="B26" s="5" t="n">
        <x:v>7300.896</x:v>
      </x:c>
      <x:c r="C26" s="5" t="n">
        <x:v>192628</x:v>
      </x:c>
      <x:c r="D26" s="5" t="n">
        <x:v>3.2131538461538462</x:v>
      </x:c>
      <x:c r="E26" s="5" t="n">
        <x:v>0.317600196621539</x:v>
      </x:c>
      <x:c r="F26" s="6" t="n">
        <x:v>13</x:v>
      </x:c>
    </x:row>
    <x:row r="27" ht="21" customHeight="1">
      <x:c r="A27" s="1" t="str">
        <x:v>1982Q4</x:v>
      </x:c>
      <x:c r="B27" s="5" t="n">
        <x:v>7303.817</x:v>
      </x:c>
      <x:c r="C27" s="5" t="n">
        <x:v>189523</x:v>
      </x:c>
      <x:c r="D27" s="5" t="n">
        <x:v>1.668</x:v>
      </x:c>
      <x:c r="E27" s="5" t="n">
        <x:v>0.391865110792546</x:v>
      </x:c>
      <x:c r="F27" s="6" t="n">
        <x:v>14</x:v>
      </x:c>
    </x:row>
    <x:row r="28" ht="21" customHeight="1">
      <x:c r="A28" s="1" t="str">
        <x:v>1983Q1</x:v>
      </x:c>
      <x:c r="B28" s="5" t="n">
        <x:v>7400.066</x:v>
      </x:c>
      <x:c r="C28" s="5" t="n">
        <x:v>187708</x:v>
      </x:c>
      <x:c r="D28" s="5" t="n">
        <x:v>0.1675</x:v>
      </x:c>
      <x:c r="E28" s="5" t="n">
        <x:v>0.34348741701746</x:v>
      </x:c>
      <x:c r="F28" s="6" t="n">
        <x:v>12</x:v>
      </x:c>
    </x:row>
    <x:row r="29" ht="21" customHeight="1">
      <x:c r="A29" s="1" t="str">
        <x:v>1983Q2</x:v>
      </x:c>
      <x:c r="B29" s="5" t="n">
        <x:v>7568.456</x:v>
      </x:c>
      <x:c r="C29" s="5" t="n">
        <x:v>187314</x:v>
      </x:c>
      <x:c r="D29" s="5" t="n">
        <x:v>-0.12030769230769231</x:v>
      </x:c>
      <x:c r="E29" s="5" t="n">
        <x:v>0.0253167892934847</x:v>
      </x:c>
      <x:c r="F29" s="6" t="n">
        <x:v>13</x:v>
      </x:c>
    </x:row>
    <x:row r="30" ht="21" customHeight="1">
      <x:c r="A30" s="1" t="str">
        <x:v>1983Q3</x:v>
      </x:c>
      <x:c r="B30" s="5" t="n">
        <x:v>7719.746</x:v>
      </x:c>
      <x:c r="C30" s="5" t="n">
        <x:v>192527</x:v>
      </x:c>
      <x:c r="D30" s="5" t="n">
        <x:v>-0.09578571428571428</x:v>
      </x:c>
      <x:c r="E30" s="5" t="n">
        <x:v>-0.363948282819493</x:v>
      </x:c>
      <x:c r="F30" s="6" t="n">
        <x:v>14</x:v>
      </x:c>
    </x:row>
    <x:row r="31" ht="21" customHeight="1">
      <x:c r="A31" s="1" t="str">
        <x:v>1983Q4</x:v>
      </x:c>
      <x:c r="B31" s="5" t="n">
        <x:v>7880.794</x:v>
      </x:c>
      <x:c r="C31" s="5" t="n">
        <x:v>195759</x:v>
      </x:c>
      <x:c r="D31" s="5" t="n">
        <x:v>0.04907692307692308</x:v>
      </x:c>
      <x:c r="E31" s="5" t="n">
        <x:v>-0.592932037899917</x:v>
      </x:c>
      <x:c r="F31" s="6" t="n">
        <x:v>13</x:v>
      </x:c>
    </x:row>
    <x:row r="32" ht="21" customHeight="1">
      <x:c r="A32" s="1" t="str">
        <x:v>1984Q1</x:v>
      </x:c>
      <x:c r="B32" s="5" t="n">
        <x:v>8034.847</x:v>
      </x:c>
      <x:c r="C32" s="5" t="n">
        <x:v>200558</x:v>
      </x:c>
      <x:c r="D32" s="5" t="n">
        <x:v>-0.11053846153846154</x:v>
      </x:c>
      <x:c r="E32" s="5" t="n">
        <x:v>-0.520820009990768</x:v>
      </x:c>
      <x:c r="F32" s="6" t="n">
        <x:v>13</x:v>
      </x:c>
    </x:row>
    <x:row r="33" ht="21" customHeight="1">
      <x:c r="A33" s="1" t="str">
        <x:v>1984Q2</x:v>
      </x:c>
      <x:c r="B33" s="5" t="n">
        <x:v>8173.67</x:v>
      </x:c>
      <x:c r="C33" s="5" t="n">
        <x:v>202890</x:v>
      </x:c>
      <x:c r="D33" s="5" t="n">
        <x:v>0.7168461538461538</x:v>
      </x:c>
      <x:c r="E33" s="5" t="n">
        <x:v>-0.351622344965834</x:v>
      </x:c>
      <x:c r="F33" s="6" t="n">
        <x:v>13</x:v>
      </x:c>
    </x:row>
    <x:row r="34" ht="21" customHeight="1">
      <x:c r="A34" s="1" t="str">
        <x:v>1984Q3</x:v>
      </x:c>
      <x:c r="B34" s="5" t="n">
        <x:v>8252.465</x:v>
      </x:c>
      <x:c r="C34" s="5" t="n">
        <x:v>204763</x:v>
      </x:c>
      <x:c r="D34" s="5" t="n">
        <x:v>0.7592307692307692</x:v>
      </x:c>
      <x:c r="E34" s="5" t="n">
        <x:v>-0.546515233434831</x:v>
      </x:c>
      <x:c r="F34" s="6" t="n">
        <x:v>13</x:v>
      </x:c>
    </x:row>
    <x:row r="35" ht="21" customHeight="1">
      <x:c r="A35" s="1" t="str">
        <x:v>1984Q4</x:v>
      </x:c>
      <x:c r="B35" s="5" t="n">
        <x:v>8320.199</x:v>
      </x:c>
      <x:c r="C35" s="5" t="n">
        <x:v>205998</x:v>
      </x:c>
      <x:c r="D35" s="5" t="n">
        <x:v>-0.022384615384615388</x:v>
      </x:c>
      <x:c r="E35" s="5" t="n">
        <x:v>-0.489101233761696</x:v>
      </x:c>
      <x:c r="F35" s="6" t="n">
        <x:v>13</x:v>
      </x:c>
    </x:row>
    <x:row r="36" ht="21" customHeight="1">
      <x:c r="A36" s="1" t="str">
        <x:v>1985Q1</x:v>
      </x:c>
      <x:c r="B36" s="5" t="n">
        <x:v>8400.82</x:v>
      </x:c>
      <x:c r="C36" s="5" t="n">
        <x:v>209056</x:v>
      </x:c>
      <x:c r="D36" s="5" t="n">
        <x:v>-0.33653846153846156</x:v>
      </x:c>
      <x:c r="E36" s="5" t="n">
        <x:v>-0.526613664253169</x:v>
      </x:c>
      <x:c r="F36" s="6" t="n">
        <x:v>13</x:v>
      </x:c>
    </x:row>
    <x:row r="37" ht="21" customHeight="1">
      <x:c r="A37" s="1" t="str">
        <x:v>1985Q2</x:v>
      </x:c>
      <x:c r="B37" s="5" t="n">
        <x:v>8474.787</x:v>
      </x:c>
      <x:c r="C37" s="5" t="n">
        <x:v>213736</x:v>
      </x:c>
      <x:c r="D37" s="5" t="n">
        <x:v>-0.39261538461538464</x:v>
      </x:c>
      <x:c r="E37" s="5" t="n">
        <x:v>-0.564330100861729</x:v>
      </x:c>
      <x:c r="F37" s="6" t="n">
        <x:v>13</x:v>
      </x:c>
    </x:row>
    <x:row r="38" ht="21" customHeight="1">
      <x:c r="A38" s="1" t="str">
        <x:v>1985Q3</x:v>
      </x:c>
      <x:c r="B38" s="5" t="n">
        <x:v>8604.22</x:v>
      </x:c>
      <x:c r="C38" s="5" t="n">
        <x:v>216480</x:v>
      </x:c>
      <x:c r="D38" s="5" t="n">
        <x:v>-0.23153846153846153</x:v>
      </x:c>
      <x:c r="E38" s="5" t="n">
        <x:v>-0.620710420643997</x:v>
      </x:c>
      <x:c r="F38" s="6" t="n">
        <x:v>13</x:v>
      </x:c>
    </x:row>
    <x:row r="39" ht="21" customHeight="1">
      <x:c r="A39" s="1" t="str">
        <x:v>1985Q4</x:v>
      </x:c>
      <x:c r="B39" s="5" t="n">
        <x:v>8668.188</x:v>
      </x:c>
      <x:c r="C39" s="5" t="n">
        <x:v>215854</x:v>
      </x:c>
      <x:c r="D39" s="5" t="n">
        <x:v>-0.2803076923076923</x:v>
      </x:c>
      <x:c r="E39" s="5" t="n">
        <x:v>-0.48833675479394</x:v>
      </x:c>
      <x:c r="F39" s="6" t="n">
        <x:v>13</x:v>
      </x:c>
    </x:row>
    <x:row r="40" ht="21" customHeight="1">
      <x:c r="A40" s="1" t="str">
        <x:v>1986Q1</x:v>
      </x:c>
      <x:c r="B40" s="5" t="n">
        <x:v>8749.127</x:v>
      </x:c>
      <x:c r="C40" s="5" t="n">
        <x:v>217350</x:v>
      </x:c>
      <x:c r="D40" s="5" t="n">
        <x:v>-0.2811538461538462</x:v>
      </x:c>
      <x:c r="E40" s="5" t="n">
        <x:v>-0.698618267720959</x:v>
      </x:c>
      <x:c r="F40" s="6" t="n">
        <x:v>13</x:v>
      </x:c>
    </x:row>
    <x:row r="41" ht="21" customHeight="1">
      <x:c r="A41" s="1" t="str">
        <x:v>1986Q2</x:v>
      </x:c>
      <x:c r="B41" s="5" t="n">
        <x:v>8788.524</x:v>
      </x:c>
      <x:c r="C41" s="5" t="n">
        <x:v>216958</x:v>
      </x:c>
      <x:c r="D41" s="5" t="n">
        <x:v>-0.43607692307692303</x:v>
      </x:c>
      <x:c r="E41" s="5" t="n">
        <x:v>-0.735485819030844</x:v>
      </x:c>
      <x:c r="F41" s="6" t="n">
        <x:v>13</x:v>
      </x:c>
    </x:row>
    <x:row r="42" ht="21" customHeight="1">
      <x:c r="A42" s="1" t="str">
        <x:v>1986Q3</x:v>
      </x:c>
      <x:c r="B42" s="5" t="n">
        <x:v>8872.601</x:v>
      </x:c>
      <x:c r="C42" s="5" t="n">
        <x:v>217527</x:v>
      </x:c>
      <x:c r="D42" s="5" t="n">
        <x:v>-0.5316923076923077</x:v>
      </x:c>
      <x:c r="E42" s="5" t="n">
        <x:v>-0.516934674760875</x:v>
      </x:c>
      <x:c r="F42" s="6" t="n">
        <x:v>13</x:v>
      </x:c>
    </x:row>
    <x:row r="43" ht="21" customHeight="1">
      <x:c r="A43" s="1" t="str">
        <x:v>1986Q4</x:v>
      </x:c>
      <x:c r="B43" s="5" t="n">
        <x:v>8920.193</x:v>
      </x:c>
      <x:c r="C43" s="5" t="n">
        <x:v>221092</x:v>
      </x:c>
      <x:c r="D43" s="5" t="n">
        <x:v>-0.5375384615384615</x:v>
      </x:c>
      <x:c r="E43" s="5" t="n">
        <x:v>-0.762401923053947</x:v>
      </x:c>
      <x:c r="F43" s="6" t="n">
        <x:v>13</x:v>
      </x:c>
    </x:row>
    <x:row r="44" ht="21" customHeight="1">
      <x:c r="A44" s="1" t="str">
        <x:v>1987Q1</x:v>
      </x:c>
      <x:c r="B44" s="5" t="n">
        <x:v>8986.367</x:v>
      </x:c>
      <x:c r="C44" s="5" t="n">
        <x:v>223314</x:v>
      </x:c>
      <x:c r="D44" s="5" t="n">
        <x:v>-0.42023076923076924</x:v>
      </x:c>
      <x:c r="E44" s="5" t="n">
        <x:v>-0.975750464041286</x:v>
      </x:c>
      <x:c r="F44" s="6" t="n">
        <x:v>13</x:v>
      </x:c>
    </x:row>
    <x:row r="45" ht="21" customHeight="1">
      <x:c r="A45" s="1" t="str">
        <x:v>1987Q2</x:v>
      </x:c>
      <x:c r="B45" s="5" t="n">
        <x:v>9083.256</x:v>
      </x:c>
      <x:c r="C45" s="5" t="n">
        <x:v>226866</x:v>
      </x:c>
      <x:c r="D45" s="5" t="n">
        <x:v>0.4110769230769231</x:v>
      </x:c>
      <x:c r="E45" s="5" t="n">
        <x:v>-1.11770254908297</x:v>
      </x:c>
      <x:c r="F45" s="6" t="n">
        <x:v>13</x:v>
      </x:c>
    </x:row>
    <x:row r="46" ht="21" customHeight="1">
      <x:c r="A46" s="1" t="str">
        <x:v>1987Q3</x:v>
      </x:c>
      <x:c r="B46" s="5" t="n">
        <x:v>9162.024</x:v>
      </x:c>
      <x:c r="C46" s="5" t="n">
        <x:v>230956</x:v>
      </x:c>
      <x:c r="D46" s="5" t="n">
        <x:v>0.16938461538461538</x:v>
      </x:c>
      <x:c r="E46" s="5" t="n">
        <x:v>-1.74116211549885</x:v>
      </x:c>
      <x:c r="F46" s="6" t="n">
        <x:v>13</x:v>
      </x:c>
    </x:row>
    <x:row r="47" ht="21" customHeight="1">
      <x:c r="A47" s="1" t="str">
        <x:v>1987Q4</x:v>
      </x:c>
      <x:c r="B47" s="5" t="n">
        <x:v>9319.332</x:v>
      </x:c>
      <x:c r="C47" s="5" t="n">
        <x:v>235600</x:v>
      </x:c>
      <x:c r="D47" s="5" t="n">
        <x:v>0.9900769230769231</x:v>
      </x:c>
      <x:c r="E47" s="5" t="n">
        <x:v>-0.665057732352857</x:v>
      </x:c>
      <x:c r="F47" s="6" t="n">
        <x:v>13</x:v>
      </x:c>
    </x:row>
    <x:row r="48" ht="21" customHeight="1">
      <x:c r="A48" s="1" t="str">
        <x:v>1988Q1</x:v>
      </x:c>
      <x:c r="B48" s="5" t="n">
        <x:v>9367.502</x:v>
      </x:c>
      <x:c r="C48" s="5" t="n">
        <x:v>236610</x:v>
      </x:c>
      <x:c r="D48" s="5" t="n">
        <x:v>0.3126923076923077</x:v>
      </x:c>
      <x:c r="E48" s="5" t="n">
        <x:v>-1.03646963925617</x:v>
      </x:c>
      <x:c r="F48" s="6" t="n">
        <x:v>13</x:v>
      </x:c>
    </x:row>
    <x:row r="49" ht="21" customHeight="1">
      <x:c r="A49" s="1" t="str">
        <x:v>1988Q2</x:v>
      </x:c>
      <x:c r="B49" s="5" t="n">
        <x:v>9490.594</x:v>
      </x:c>
      <x:c r="C49" s="5" t="n">
        <x:v>236840</x:v>
      </x:c>
      <x:c r="D49" s="5" t="n">
        <x:v>0.24746153846153846</x:v>
      </x:c>
      <x:c r="E49" s="5" t="n">
        <x:v>-1.26539153657579</x:v>
      </x:c>
      <x:c r="F49" s="6" t="n">
        <x:v>13</x:v>
      </x:c>
    </x:row>
    <x:row r="50" ht="21" customHeight="1">
      <x:c r="A50" s="1" t="str">
        <x:v>1988Q3</x:v>
      </x:c>
      <x:c r="B50" s="5" t="n">
        <x:v>9546.206</x:v>
      </x:c>
      <x:c r="C50" s="5" t="n">
        <x:v>238744</x:v>
      </x:c>
      <x:c r="D50" s="5" t="n">
        <x:v>0.372</x:v>
      </x:c>
      <x:c r="E50" s="5" t="n">
        <x:v>-1.1976474458899</x:v>
      </x:c>
      <x:c r="F50" s="6" t="n">
        <x:v>14</x:v>
      </x:c>
    </x:row>
    <x:row r="51" ht="21" customHeight="1">
      <x:c r="A51" s="1" t="str">
        <x:v>1988Q4</x:v>
      </x:c>
      <x:c r="B51" s="5" t="n">
        <x:v>9673.405</x:v>
      </x:c>
      <x:c r="C51" s="5" t="n">
        <x:v>242638</x:v>
      </x:c>
      <x:c r="D51" s="5" t="n">
        <x:v>0.17330769230769233</x:v>
      </x:c>
      <x:c r="E51" s="5" t="n">
        <x:v>-0.961842258137953</x:v>
      </x:c>
      <x:c r="F51" s="6" t="n">
        <x:v>13</x:v>
      </x:c>
    </x:row>
    <x:row r="52" ht="21" customHeight="1">
      <x:c r="A52" s="1" t="str">
        <x:v>1989Q1</x:v>
      </x:c>
      <x:c r="B52" s="5" t="n">
        <x:v>9771.725</x:v>
      </x:c>
      <x:c r="C52" s="5" t="n">
        <x:v>244905</x:v>
      </x:c>
      <x:c r="D52" s="5" t="n">
        <x:v>0.3852307692307692</x:v>
      </x:c>
      <x:c r="E52" s="5" t="n">
        <x:v>-0.762231733435228</x:v>
      </x:c>
      <x:c r="F52" s="6" t="n">
        <x:v>13</x:v>
      </x:c>
    </x:row>
    <x:row r="53" ht="21" customHeight="1">
      <x:c r="A53" s="1" t="str">
        <x:v>1989Q2</x:v>
      </x:c>
      <x:c r="B53" s="5" t="n">
        <x:v>9846.293</x:v>
      </x:c>
      <x:c r="C53" s="5" t="n">
        <x:v>250181</x:v>
      </x:c>
      <x:c r="D53" s="5" t="n">
        <x:v>0.4616923076923077</x:v>
      </x:c>
      <x:c r="E53" s="5" t="n">
        <x:v>-0.540881864815661</x:v>
      </x:c>
      <x:c r="F53" s="6" t="n">
        <x:v>13</x:v>
      </x:c>
    </x:row>
    <x:row r="54" ht="21" customHeight="1">
      <x:c r="A54" s="1" t="str">
        <x:v>1989Q3</x:v>
      </x:c>
      <x:c r="B54" s="5" t="n">
        <x:v>9919.228</x:v>
      </x:c>
      <x:c r="C54" s="5" t="n">
        <x:v>252319</x:v>
      </x:c>
      <x:c r="D54" s="5" t="n">
        <x:v>0.2651538461538462</x:v>
      </x:c>
      <x:c r="E54" s="5" t="n">
        <x:v>-0.528431554861453</x:v>
      </x:c>
      <x:c r="F54" s="6" t="n">
        <x:v>13</x:v>
      </x:c>
    </x:row>
    <x:row r="55" ht="21" customHeight="1">
      <x:c r="A55" s="1" t="str">
        <x:v>1989Q4</x:v>
      </x:c>
      <x:c r="B55" s="5" t="n">
        <x:v>9938.767</x:v>
      </x:c>
      <x:c r="C55" s="5" t="n">
        <x:v>251640</x:v>
      </x:c>
      <x:c r="D55" s="5" t="n">
        <x:v>0.17707692307692308</x:v>
      </x:c>
      <x:c r="E55" s="5" t="n">
        <x:v>-0.243151602730158</x:v>
      </x:c>
      <x:c r="F55" s="6" t="n">
        <x:v>13</x:v>
      </x:c>
    </x:row>
    <x:row r="56" ht="21" customHeight="1">
      <x:c r="A56" s="1" t="str">
        <x:v>1990Q1</x:v>
      </x:c>
      <x:c r="B56" s="5" t="n">
        <x:v>10047.386</x:v>
      </x:c>
      <x:c r="C56" s="5" t="n">
        <x:v>253536</x:v>
      </x:c>
      <x:c r="D56" s="5" t="n">
        <x:v>0.05830769230769231</x:v>
      </x:c>
      <x:c r="E56" s="5" t="n">
        <x:v>0.0503770863331034</x:v>
      </x:c>
      <x:c r="F56" s="6" t="n">
        <x:v>13</x:v>
      </x:c>
    </x:row>
    <x:row r="57" ht="21" customHeight="1">
      <x:c r="A57" s="1" t="str">
        <x:v>1990Q2</x:v>
      </x:c>
      <x:c r="B57" s="5" t="n">
        <x:v>10083.855</x:v>
      </x:c>
      <x:c r="C57" s="5" t="n">
        <x:v>253863</x:v>
      </x:c>
      <x:c r="D57" s="5" t="n">
        <x:v>0.006153846153846157</x:v>
      </x:c>
      <x:c r="E57" s="5" t="n">
        <x:v>0.303552524093667</x:v>
      </x:c>
      <x:c r="F57" s="6" t="n">
        <x:v>13</x:v>
      </x:c>
    </x:row>
    <x:row r="58" ht="21" customHeight="1">
      <x:c r="A58" s="1" t="str">
        <x:v>1990Q3</x:v>
      </x:c>
      <x:c r="B58" s="5" t="n">
        <x:v>10090.569</x:v>
      </x:c>
      <x:c r="C58" s="5" t="n">
        <x:v>252550</x:v>
      </x:c>
      <x:c r="D58" s="5" t="n">
        <x:v>0.09046153846153845</x:v>
      </x:c>
      <x:c r="E58" s="5" t="n">
        <x:v>0.603506532775112</x:v>
      </x:c>
      <x:c r="F58" s="6" t="n">
        <x:v>13</x:v>
      </x:c>
    </x:row>
    <x:row r="59" ht="21" customHeight="1">
      <x:c r="A59" s="1" t="str">
        <x:v>1990Q4</x:v>
      </x:c>
      <x:c r="B59" s="5" t="n">
        <x:v>9998.704</x:v>
      </x:c>
      <x:c r="C59" s="5" t="n">
        <x:v>253941</x:v>
      </x:c>
      <x:c r="D59" s="5" t="n">
        <x:v>0.4683076923076923</x:v>
      </x:c>
      <x:c r="E59" s="5" t="n">
        <x:v>0.998052539151301</x:v>
      </x:c>
      <x:c r="F59" s="6" t="n">
        <x:v>13</x:v>
      </x:c>
    </x:row>
    <x:row r="60" ht="21" customHeight="1">
      <x:c r="A60" s="1" t="str">
        <x:v>1991Q1</x:v>
      </x:c>
      <x:c r="B60" s="5" t="n">
        <x:v>9951.916</x:v>
      </x:c>
      <x:c r="C60" s="5" t="n">
        <x:v>250758</x:v>
      </x:c>
      <x:c r="D60" s="5" t="n">
        <x:v>0.18469230769230768</x:v>
      </x:c>
      <x:c r="E60" s="5" t="n">
        <x:v>0.988044191260695</x:v>
      </x:c>
      <x:c r="F60" s="6" t="n">
        <x:v>13</x:v>
      </x:c>
    </x:row>
    <x:row r="61" ht="21" customHeight="1">
      <x:c r="A61" s="1" t="str">
        <x:v>1991Q2</x:v>
      </x:c>
      <x:c r="B61" s="5" t="n">
        <x:v>10029.51</x:v>
      </x:c>
      <x:c r="C61" s="5" t="n">
        <x:v>250219</x:v>
      </x:c>
      <x:c r="D61" s="5" t="n">
        <x:v>-0.23176923076923076</x:v>
      </x:c>
      <x:c r="E61" s="5" t="n">
        <x:v>0.942794648106913</x:v>
      </x:c>
      <x:c r="F61" s="6" t="n">
        <x:v>13</x:v>
      </x:c>
    </x:row>
    <x:row r="62" ht="21" customHeight="1">
      <x:c r="A62" s="1" t="str">
        <x:v>1991Q3</x:v>
      </x:c>
      <x:c r="B62" s="5" t="n">
        <x:v>10080.195</x:v>
      </x:c>
      <x:c r="C62" s="5" t="n">
        <x:v>251377</x:v>
      </x:c>
      <x:c r="D62" s="5" t="n">
        <x:v>-0.47215384615384615</x:v>
      </x:c>
      <x:c r="E62" s="5" t="n">
        <x:v>0.926203662534873</x:v>
      </x:c>
      <x:c r="F62" s="6" t="n">
        <x:v>13</x:v>
      </x:c>
    </x:row>
    <x:row r="63" ht="21" customHeight="1">
      <x:c r="A63" s="1" t="str">
        <x:v>1991Q4</x:v>
      </x:c>
      <x:c r="B63" s="5" t="n">
        <x:v>10115.329</x:v>
      </x:c>
      <x:c r="C63" s="5" t="n">
        <x:v>251541</x:v>
      </x:c>
      <x:c r="D63" s="5" t="n">
        <x:v>-0.6098461538461538</x:v>
      </x:c>
      <x:c r="E63" s="5" t="n">
        <x:v>0.889225736730189</x:v>
      </x:c>
      <x:c r="F63" s="6" t="n">
        <x:v>13</x:v>
      </x:c>
    </x:row>
    <x:row r="64" ht="21" customHeight="1">
      <x:c r="A64" s="1" t="str">
        <x:v>1992Q1</x:v>
      </x:c>
      <x:c r="B64" s="5" t="n">
        <x:v>10236.435</x:v>
      </x:c>
      <x:c r="C64" s="5" t="n">
        <x:v>253547</x:v>
      </x:c>
      <x:c r="D64" s="5" t="n">
        <x:v>-0.6603076923076923</x:v>
      </x:c>
      <x:c r="E64" s="5" t="n">
        <x:v>0.961398459401911</x:v>
      </x:c>
      <x:c r="F64" s="6" t="n">
        <x:v>13</x:v>
      </x:c>
    </x:row>
    <x:row r="65" ht="21" customHeight="1">
      <x:c r="A65" s="1" t="str">
        <x:v>1992Q2</x:v>
      </x:c>
      <x:c r="B65" s="5" t="n">
        <x:v>10347.429</x:v>
      </x:c>
      <x:c r="C65" s="5" t="n">
        <x:v>255366</x:v>
      </x:c>
      <x:c r="D65" s="5" t="n">
        <x:v>-0.815076923076923</x:v>
      </x:c>
      <x:c r="E65" s="5" t="n">
        <x:v>0.86577847599036</x:v>
      </x:c>
      <x:c r="F65" s="6" t="n">
        <x:v>13</x:v>
      </x:c>
    </x:row>
    <x:row r="66" ht="21" customHeight="1">
      <x:c r="A66" s="1" t="str">
        <x:v>1992Q3</x:v>
      </x:c>
      <x:c r="B66" s="5" t="n">
        <x:v>10449.673</x:v>
      </x:c>
      <x:c r="C66" s="5" t="n">
        <x:v>257852</x:v>
      </x:c>
      <x:c r="D66" s="5" t="n">
        <x:v>-0.8997692307692309</x:v>
      </x:c>
      <x:c r="E66" s="5" t="n">
        <x:v>1.0658605978499</x:v>
      </x:c>
      <x:c r="F66" s="6" t="n">
        <x:v>13</x:v>
      </x:c>
    </x:row>
    <x:row r="67" ht="21" customHeight="1">
      <x:c r="A67" s="1" t="str">
        <x:v>1992Q4</x:v>
      </x:c>
      <x:c r="B67" s="5" t="n">
        <x:v>10558.648</x:v>
      </x:c>
      <x:c r="C67" s="5" t="n">
        <x:v>263251</x:v>
      </x:c>
      <x:c r="D67" s="5" t="n">
        <x:v>-0.7471538461538461</x:v>
      </x:c>
      <x:c r="E67" s="5" t="n">
        <x:v>0.99917403803161</x:v>
      </x:c>
      <x:c r="F67" s="6" t="n">
        <x:v>13</x:v>
      </x:c>
    </x:row>
    <x:row r="68" ht="21" customHeight="1">
      <x:c r="A68" s="1" t="str">
        <x:v>1993Q1</x:v>
      </x:c>
      <x:c r="B68" s="5" t="n">
        <x:v>10576.275</x:v>
      </x:c>
      <x:c r="C68" s="5" t="n">
        <x:v>265081</x:v>
      </x:c>
      <x:c r="D68" s="5" t="n">
        <x:v>-0.9516153846153846</x:v>
      </x:c>
      <x:c r="E68" s="5" t="n">
        <x:v>0.759011890868017</x:v>
      </x:c>
      <x:c r="F68" s="6" t="n">
        <x:v>13</x:v>
      </x:c>
    </x:row>
    <x:row r="69" ht="21" customHeight="1">
      <x:c r="A69" s="1" t="str">
        <x:v>1993Q2</x:v>
      </x:c>
      <x:c r="B69" s="5" t="n">
        <x:v>10637.847</x:v>
      </x:c>
      <x:c r="C69" s="5" t="n">
        <x:v>266583</x:v>
      </x:c>
      <x:c r="D69" s="5" t="n">
        <x:v>-0.9907692307692307</x:v>
      </x:c>
      <x:c r="E69" s="5" t="n">
        <x:v>0.667318035651069</x:v>
      </x:c>
      <x:c r="F69" s="6" t="n">
        <x:v>13</x:v>
      </x:c>
    </x:row>
    <x:row r="70" ht="21" customHeight="1">
      <x:c r="A70" s="1" t="str">
        <x:v>1993Q3</x:v>
      </x:c>
      <x:c r="B70" s="5" t="n">
        <x:v>10688.606</x:v>
      </x:c>
      <x:c r="C70" s="5" t="n">
        <x:v>266905</x:v>
      </x:c>
      <x:c r="D70" s="5" t="n">
        <x:v>-1.075</x:v>
      </x:c>
      <x:c r="E70" s="5" t="n">
        <x:v>0.312218172686155</x:v>
      </x:c>
      <x:c r="F70" s="6" t="n">
        <x:v>13</x:v>
      </x:c>
    </x:row>
    <x:row r="71" ht="21" customHeight="1">
      <x:c r="A71" s="1" t="str">
        <x:v>1993Q4</x:v>
      </x:c>
      <x:c r="B71" s="5" t="n">
        <x:v>10833.987</x:v>
      </x:c>
      <x:c r="C71" s="5" t="n">
        <x:v>271805</x:v>
      </x:c>
      <x:c r="D71" s="5" t="n">
        <x:v>-0.9738571428571429</x:v>
      </x:c>
      <x:c r="E71" s="5" t="n">
        <x:v>0.128949798297801</x:v>
      </x:c>
      <x:c r="F71" s="6" t="n">
        <x:v>14</x:v>
      </x:c>
    </x:row>
    <x:row r="72" ht="21" customHeight="1">
      <x:c r="A72" s="1" t="str">
        <x:v>1994Q1</x:v>
      </x:c>
      <x:c r="B72" s="5" t="n">
        <x:v>10939.116</x:v>
      </x:c>
      <x:c r="C72" s="5" t="n">
        <x:v>276336</x:v>
      </x:c>
      <x:c r="D72" s="5" t="n">
        <x:v>-0.9369999999999999</x:v>
      </x:c>
      <x:c r="E72" s="5" t="n">
        <x:v>-0.0171239006910905</x:v>
      </x:c>
      <x:c r="F72" s="6" t="n">
        <x:v>12</x:v>
      </x:c>
    </x:row>
    <x:row r="73" ht="21" customHeight="1">
      <x:c r="A73" s="1" t="str">
        <x:v>1994Q2</x:v>
      </x:c>
      <x:c r="B73" s="5" t="n">
        <x:v>11087.361</x:v>
      </x:c>
      <x:c r="C73" s="5" t="n">
        <x:v>279611</x:v>
      </x:c>
      <x:c r="D73" s="5" t="n">
        <x:v>-0.7249999999999999</x:v>
      </x:c>
      <x:c r="E73" s="5" t="n">
        <x:v>0.118951476160184</x:v>
      </x:c>
      <x:c r="F73" s="6" t="n">
        <x:v>13</x:v>
      </x:c>
    </x:row>
    <x:row r="74" ht="21" customHeight="1">
      <x:c r="A74" s="1" t="str">
        <x:v>1994Q3</x:v>
      </x:c>
      <x:c r="B74" s="5" t="n">
        <x:v>11152.176</x:v>
      </x:c>
      <x:c r="C74" s="5" t="n">
        <x:v>281720</x:v>
      </x:c>
      <x:c r="D74" s="5" t="n">
        <x:v>-0.7602142857142857</x:v>
      </x:c>
      <x:c r="E74" s="5" t="n">
        <x:v>0.122656623416673</x:v>
      </x:c>
      <x:c r="F74" s="6" t="n">
        <x:v>14</x:v>
      </x:c>
    </x:row>
    <x:row r="75" ht="21" customHeight="1">
      <x:c r="A75" s="1" t="str">
        <x:v>1994Q4</x:v>
      </x:c>
      <x:c r="B75" s="5" t="n">
        <x:v>11279.932</x:v>
      </x:c>
      <x:c r="C75" s="5" t="n">
        <x:v>284892</x:v>
      </x:c>
      <x:c r="D75" s="5" t="n">
        <x:v>-0.5265384615384615</x:v>
      </x:c>
      <x:c r="E75" s="5" t="n">
        <x:v>0.230209700051587</x:v>
      </x:c>
      <x:c r="F75" s="6" t="n">
        <x:v>13</x:v>
      </x:c>
    </x:row>
    <x:row r="76" ht="21" customHeight="1">
      <x:c r="A76" s="1" t="str">
        <x:v>1995Q1</x:v>
      </x:c>
      <x:c r="B76" s="5" t="n">
        <x:v>11319.951</x:v>
      </x:c>
      <x:c r="C76" s="5" t="n">
        <x:v>284634</x:v>
      </x:c>
      <x:c r="D76" s="5" t="n">
        <x:v>-0.5656153846153846</x:v>
      </x:c>
      <x:c r="E76" s="5" t="n">
        <x:v>0.18765796190476</x:v>
      </x:c>
      <x:c r="F76" s="6" t="n">
        <x:v>13</x:v>
      </x:c>
    </x:row>
    <x:row r="77" ht="21" customHeight="1">
      <x:c r="A77" s="1" t="str">
        <x:v>1995Q2</x:v>
      </x:c>
      <x:c r="B77" s="5" t="n">
        <x:v>11353.721</x:v>
      </x:c>
      <x:c r="C77" s="5" t="n">
        <x:v>285994</x:v>
      </x:c>
      <x:c r="D77" s="5" t="n">
        <x:v>-0.6827692307692307</x:v>
      </x:c>
      <x:c r="E77" s="5" t="n">
        <x:v>0.12830922835243</x:v>
      </x:c>
      <x:c r="F77" s="6" t="n">
        <x:v>13</x:v>
      </x:c>
    </x:row>
    <x:row r="78" ht="21" customHeight="1">
      <x:c r="A78" s="1" t="str">
        <x:v>1995Q3</x:v>
      </x:c>
      <x:c r="B78" s="5" t="n">
        <x:v>11450.31</x:v>
      </x:c>
      <x:c r="C78" s="5" t="n">
        <x:v>292541</x:v>
      </x:c>
      <x:c r="D78" s="5" t="n">
        <x:v>-0.6939230769230769</x:v>
      </x:c>
      <x:c r="E78" s="5" t="n">
        <x:v>0.0924269149844543</x:v>
      </x:c>
      <x:c r="F78" s="6" t="n">
        <x:v>13</x:v>
      </x:c>
    </x:row>
    <x:row r="79" ht="21" customHeight="1">
      <x:c r="A79" s="1" t="str">
        <x:v>1995Q4</x:v>
      </x:c>
      <x:c r="B79" s="5" t="n">
        <x:v>11528.067</x:v>
      </x:c>
      <x:c r="C79" s="5" t="n">
        <x:v>292613</x:v>
      </x:c>
      <x:c r="D79" s="5" t="n">
        <x:v>-0.7315384615384615</x:v>
      </x:c>
      <x:c r="E79" s="5" t="n">
        <x:v>0.0832763210779438</x:v>
      </x:c>
      <x:c r="F79" s="6" t="n">
        <x:v>13</x:v>
      </x:c>
    </x:row>
    <x:row r="80" ht="21" customHeight="1">
      <x:c r="A80" s="1" t="str">
        <x:v>1996Q1</x:v>
      </x:c>
      <x:c r="B80" s="5" t="n">
        <x:v>11614.418</x:v>
      </x:c>
      <x:c r="C80" s="5" t="n">
        <x:v>297071</x:v>
      </x:c>
      <x:c r="D80" s="5" t="n">
        <x:v>-0.782</x:v>
      </x:c>
      <x:c r="E80" s="5" t="n">
        <x:v>0.138498590632606</x:v>
      </x:c>
      <x:c r="F80" s="6" t="n">
        <x:v>13</x:v>
      </x:c>
    </x:row>
    <x:row r="81" ht="21" customHeight="1">
      <x:c r="A81" s="1" t="str">
        <x:v>1996Q2</x:v>
      </x:c>
      <x:c r="B81" s="5" t="n">
        <x:v>11808.14</x:v>
      </x:c>
      <x:c r="C81" s="5" t="n">
        <x:v>298977</x:v>
      </x:c>
      <x:c r="D81" s="5" t="n">
        <x:v>-0.7012307692307692</x:v>
      </x:c>
      <x:c r="E81" s="5" t="n">
        <x:v>0.244129535260395</x:v>
      </x:c>
      <x:c r="F81" s="6" t="n">
        <x:v>13</x:v>
      </x:c>
    </x:row>
    <x:row r="82" ht="21" customHeight="1">
      <x:c r="A82" s="1" t="str">
        <x:v>1996Q3</x:v>
      </x:c>
      <x:c r="B82" s="5" t="n">
        <x:v>11914.063</x:v>
      </x:c>
      <x:c r="C82" s="5" t="n">
        <x:v>301413</x:v>
      </x:c>
      <x:c r="D82" s="5" t="n">
        <x:v>-0.7253076923076923</x:v>
      </x:c>
      <x:c r="E82" s="5" t="n">
        <x:v>0.213323344939533</x:v>
      </x:c>
      <x:c r="F82" s="6" t="n">
        <x:v>13</x:v>
      </x:c>
    </x:row>
    <x:row r="83" ht="21" customHeight="1">
      <x:c r="A83" s="1" t="str">
        <x:v>1996Q4</x:v>
      </x:c>
      <x:c r="B83" s="5" t="n">
        <x:v>12037.775</x:v>
      </x:c>
      <x:c r="C83" s="5" t="n">
        <x:v>304194</x:v>
      </x:c>
      <x:c r="D83" s="5" t="n">
        <x:v>-0.7543076923076923</x:v>
      </x:c>
      <x:c r="E83" s="5" t="n">
        <x:v>0.125467437059816</x:v>
      </x:c>
      <x:c r="F83" s="6" t="n">
        <x:v>13</x:v>
      </x:c>
    </x:row>
    <x:row r="84" ht="21" customHeight="1">
      <x:c r="A84" s="1" t="str">
        <x:v>1997Q1</x:v>
      </x:c>
      <x:c r="B84" s="5" t="n">
        <x:v>12115.472</x:v>
      </x:c>
      <x:c r="C84" s="5" t="n">
        <x:v>306359</x:v>
      </x:c>
      <x:c r="D84" s="5" t="n">
        <x:v>-0.7113076923076923</x:v>
      </x:c>
      <x:c r="E84" s="5" t="n">
        <x:v>0.156116125552451</x:v>
      </x:c>
      <x:c r="F84" s="6" t="n">
        <x:v>13</x:v>
      </x:c>
    </x:row>
    <x:row r="85" ht="21" customHeight="1">
      <x:c r="A85" s="1" t="str">
        <x:v>1997Q2</x:v>
      </x:c>
      <x:c r="B85" s="5" t="n">
        <x:v>12317.221</x:v>
      </x:c>
      <x:c r="C85" s="5" t="n">
        <x:v>315516</x:v>
      </x:c>
      <x:c r="D85" s="5" t="n">
        <x:v>-0.6383846153846153</x:v>
      </x:c>
      <x:c r="E85" s="5" t="n">
        <x:v>0.012581418257813</x:v>
      </x:c>
      <x:c r="F85" s="6" t="n">
        <x:v>13</x:v>
      </x:c>
    </x:row>
    <x:row r="86" ht="21" customHeight="1">
      <x:c r="A86" s="1" t="str">
        <x:v>1997Q3</x:v>
      </x:c>
      <x:c r="B86" s="5" t="n">
        <x:v>12471.01</x:v>
      </x:c>
      <x:c r="C86" s="5" t="n">
        <x:v>316000</x:v>
      </x:c>
      <x:c r="D86" s="5" t="n">
        <x:v>-0.645</x:v>
      </x:c>
      <x:c r="E86" s="5" t="n">
        <x:v>-0.0040534660635722</x:v>
      </x:c>
      <x:c r="F86" s="6" t="n">
        <x:v>13</x:v>
      </x:c>
    </x:row>
    <x:row r="87" ht="21" customHeight="1">
      <x:c r="A87" s="1" t="str">
        <x:v>1997Q4</x:v>
      </x:c>
      <x:c r="B87" s="5" t="n">
        <x:v>12577.495</x:v>
      </x:c>
      <x:c r="C87" s="5" t="n">
        <x:v>320517</x:v>
      </x:c>
      <x:c r="D87" s="5" t="n">
        <x:v>-0.513</x:v>
      </x:c>
      <x:c r="E87" s="5" t="n">
        <x:v>0.133170493780611</x:v>
      </x:c>
      <x:c r="F87" s="6" t="n">
        <x:v>13</x:v>
      </x:c>
    </x:row>
    <x:row r="88" ht="21" customHeight="1">
      <x:c r="A88" s="1" t="str">
        <x:v>1998Q1</x:v>
      </x:c>
      <x:c r="B88" s="5" t="n">
        <x:v>12703.742</x:v>
      </x:c>
      <x:c r="C88" s="5" t="n">
        <x:v>322488</x:v>
      </x:c>
      <x:c r="D88" s="5" t="n">
        <x:v>-0.6038461538461538</x:v>
      </x:c>
      <x:c r="E88" s="5" t="n">
        <x:v>0.0008756783022265</x:v>
      </x:c>
      <x:c r="F88" s="6" t="n">
        <x:v>13</x:v>
      </x:c>
    </x:row>
    <x:row r="89" ht="21" customHeight="1">
      <x:c r="A89" s="1" t="str">
        <x:v>1998Q2</x:v>
      </x:c>
      <x:c r="B89" s="5" t="n">
        <x:v>12821.339</x:v>
      </x:c>
      <x:c r="C89" s="5" t="n">
        <x:v>325884</x:v>
      </x:c>
      <x:c r="D89" s="5" t="n">
        <x:v>-0.5843076923076923</x:v>
      </x:c>
      <x:c r="E89" s="5" t="n">
        <x:v>0.141691905560827</x:v>
      </x:c>
      <x:c r="F89" s="6" t="n">
        <x:v>13</x:v>
      </x:c>
    </x:row>
    <x:row r="90" ht="21" customHeight="1">
      <x:c r="A90" s="1" t="str">
        <x:v>1998Q3</x:v>
      </x:c>
      <x:c r="B90" s="5" t="n">
        <x:v>12982.752</x:v>
      </x:c>
      <x:c r="C90" s="5" t="n">
        <x:v>331945</x:v>
      </x:c>
      <x:c r="D90" s="5" t="n">
        <x:v>-0.3776153846153846</x:v>
      </x:c>
      <x:c r="E90" s="5" t="n">
        <x:v>0.251980323870847</x:v>
      </x:c>
      <x:c r="F90" s="6" t="n">
        <x:v>13</x:v>
      </x:c>
    </x:row>
    <x:row r="91" ht="21" customHeight="1">
      <x:c r="A91" s="1" t="str">
        <x:v>1998Q4</x:v>
      </x:c>
      <x:c r="B91" s="5" t="n">
        <x:v>13191.67</x:v>
      </x:c>
      <x:c r="C91" s="5" t="n">
        <x:v>337067</x:v>
      </x:c>
      <x:c r="D91" s="5" t="n">
        <x:v>-0.07161538461538462</x:v>
      </x:c>
      <x:c r="E91" s="5" t="n">
        <x:v>0.0397557511963075</x:v>
      </x:c>
      <x:c r="F91" s="6" t="n">
        <x:v>13</x:v>
      </x:c>
    </x:row>
    <x:row r="92" ht="21" customHeight="1">
      <x:c r="A92" s="1" t="str">
        <x:v>1999Q1</x:v>
      </x:c>
      <x:c r="B92" s="5" t="n">
        <x:v>13315.597</x:v>
      </x:c>
      <x:c r="C92" s="5" t="n">
        <x:v>339582</x:v>
      </x:c>
      <x:c r="D92" s="5" t="n">
        <x:v>-0.3093846153846154</x:v>
      </x:c>
      <x:c r="E92" s="5" t="n">
        <x:v>-0.105199594004654</x:v>
      </x:c>
      <x:c r="F92" s="6" t="n">
        <x:v>13</x:v>
      </x:c>
    </x:row>
    <x:row r="93" ht="21" customHeight="1">
      <x:c r="A93" s="1" t="str">
        <x:v>1999Q2</x:v>
      </x:c>
      <x:c r="B93" s="5" t="n">
        <x:v>13426.748</x:v>
      </x:c>
      <x:c r="C93" s="5" t="n">
        <x:v>340901</x:v>
      </x:c>
      <x:c r="D93" s="5" t="n">
        <x:v>-0.39784615384615385</x:v>
      </x:c>
      <x:c r="E93" s="5" t="n">
        <x:v>-0.0606857433702482</x:v>
      </x:c>
      <x:c r="F93" s="6" t="n">
        <x:v>13</x:v>
      </x:c>
    </x:row>
    <x:row r="94" ht="21" customHeight="1">
      <x:c r="A94" s="1" t="str">
        <x:v>1999Q3</x:v>
      </x:c>
      <x:c r="B94" s="5" t="n">
        <x:v>13604.771</x:v>
      </x:c>
      <x:c r="C94" s="5" t="n">
        <x:v>344645</x:v>
      </x:c>
      <x:c r="D94" s="5" t="n">
        <x:v>-0.18730769230769231</x:v>
      </x:c>
      <x:c r="E94" s="5" t="n">
        <x:v>-0.0281496340444783</x:v>
      </x:c>
      <x:c r="F94" s="6" t="n">
        <x:v>13</x:v>
      </x:c>
    </x:row>
    <x:row r="95" ht="21" customHeight="1">
      <x:c r="A95" s="1" t="str">
        <x:v>1999Q4</x:v>
      </x:c>
      <x:c r="B95" s="5" t="n">
        <x:v>13827.98</x:v>
      </x:c>
      <x:c r="C95" s="5" t="n">
        <x:v>350488</x:v>
      </x:c>
      <x:c r="D95" s="5" t="n">
        <x:v>-0.1357857142857143</x:v>
      </x:c>
      <x:c r="E95" s="5" t="n">
        <x:v>-0.141768946530172</x:v>
      </x:c>
      <x:c r="F95" s="6" t="n">
        <x:v>14</x:v>
      </x:c>
    </x:row>
    <x:row r="96" ht="21" customHeight="1">
      <x:c r="A96" s="1" t="str">
        <x:v>2000Q1</x:v>
      </x:c>
      <x:c r="B96" s="5" t="n">
        <x:v>13878.147</x:v>
      </x:c>
      <x:c r="C96" s="5" t="n">
        <x:v>351872</x:v>
      </x:c>
      <x:c r="D96" s="5" t="n">
        <x:v>-0.17253846153846153</x:v>
      </x:c>
      <x:c r="E96" s="5" t="n">
        <x:v>-0.097718714534825</x:v>
      </x:c>
      <x:c r="F96" s="6" t="n">
        <x:v>13</x:v>
      </x:c>
    </x:row>
    <x:row r="97" ht="21" customHeight="1">
      <x:c r="A97" s="1" t="str">
        <x:v>2000Q2</x:v>
      </x:c>
      <x:c r="B97" s="5" t="n">
        <x:v>14130.908</x:v>
      </x:c>
      <x:c r="C97" s="5" t="n">
        <x:v>355338</x:v>
      </x:c>
      <x:c r="D97" s="5" t="n">
        <x:v>-0.005769230769230769</x:v>
      </x:c>
      <x:c r="E97" s="5" t="n">
        <x:v>-0.0888790703340792</x:v>
      </x:c>
      <x:c r="F97" s="6" t="n">
        <x:v>13</x:v>
      </x:c>
    </x:row>
    <x:row r="98" ht="21" customHeight="1">
      <x:c r="A98" s="1" t="str">
        <x:v>2000Q3</x:v>
      </x:c>
      <x:c r="B98" s="5" t="n">
        <x:v>14145.312</x:v>
      </x:c>
      <x:c r="C98" s="5" t="n">
        <x:v>356306</x:v>
      </x:c>
      <x:c r="D98" s="5" t="n">
        <x:v>-0.15223076923076923</x:v>
      </x:c>
      <x:c r="E98" s="5" t="n">
        <x:v>-0.0595680986127717</x:v>
      </x:c>
      <x:c r="F98" s="6" t="n">
        <x:v>13</x:v>
      </x:c>
    </x:row>
    <x:row r="99" ht="21" customHeight="1">
      <x:c r="A99" s="1" t="str">
        <x:v>2000Q4</x:v>
      </x:c>
      <x:c r="B99" s="5" t="n">
        <x:v>14229.765</x:v>
      </x:c>
      <x:c r="C99" s="5" t="n">
        <x:v>354859</x:v>
      </x:c>
      <x:c r="D99" s="5" t="n">
        <x:v>-0.12430769230769231</x:v>
      </x:c>
      <x:c r="E99" s="5" t="n">
        <x:v>-0.0851355955012009</x:v>
      </x:c>
      <x:c r="F99" s="6" t="n">
        <x:v>13</x:v>
      </x:c>
    </x:row>
    <x:row r="100" ht="21" customHeight="1">
      <x:c r="A100" s="1" t="str">
        <x:v>2001Q1</x:v>
      </x:c>
      <x:c r="B100" s="5" t="n">
        <x:v>14183.12</x:v>
      </x:c>
      <x:c r="C100" s="5" t="n">
        <x:v>358221</x:v>
      </x:c>
      <x:c r="D100" s="5" t="n">
        <x:v>-0.23292307692307693</x:v>
      </x:c>
      <x:c r="E100" s="5" t="n">
        <x:v>0.0103399811422629</x:v>
      </x:c>
      <x:c r="F100" s="6" t="n">
        <x:v>13</x:v>
      </x:c>
    </x:row>
    <x:row r="101" ht="21" customHeight="1">
      <x:c r="A101" s="1" t="str">
        <x:v>2001Q2</x:v>
      </x:c>
      <x:c r="B101" s="5" t="n">
        <x:v>14271.694</x:v>
      </x:c>
      <x:c r="C101" s="5" t="n">
        <x:v>361444</x:v>
      </x:c>
      <x:c r="D101" s="5" t="n">
        <x:v>-0.38176923076923075</x:v>
      </x:c>
      <x:c r="E101" s="5" t="n">
        <x:v>-0.112613731072638</x:v>
      </x:c>
      <x:c r="F101" s="6" t="n">
        <x:v>13</x:v>
      </x:c>
    </x:row>
    <x:row r="102" ht="21" customHeight="1">
      <x:c r="A102" s="1" t="str">
        <x:v>2001Q3</x:v>
      </x:c>
      <x:c r="B102" s="5" t="n">
        <x:v>14214.516</x:v>
      </x:c>
      <x:c r="C102" s="5" t="n">
        <x:v>365512</x:v>
      </x:c>
      <x:c r="D102" s="5" t="n">
        <x:v>-0.4402307692307692</x:v>
      </x:c>
      <x:c r="E102" s="5" t="n">
        <x:v>0.10923665714013</x:v>
      </x:c>
      <x:c r="F102" s="6" t="n">
        <x:v>13</x:v>
      </x:c>
    </x:row>
    <x:row r="103" ht="21" customHeight="1">
      <x:c r="A103" s="1" t="str">
        <x:v>2001Q4</x:v>
      </x:c>
      <x:c r="B103" s="5" t="n">
        <x:v>14253.574</x:v>
      </x:c>
      <x:c r="C103" s="5" t="n">
        <x:v>369855</x:v>
      </x:c>
      <x:c r="D103" s="5" t="n">
        <x:v>-0.36792307692307696</x:v>
      </x:c>
      <x:c r="E103" s="5" t="n">
        <x:v>-0.0760835299734759</x:v>
      </x:c>
      <x:c r="F103" s="6" t="n">
        <x:v>13</x:v>
      </x:c>
    </x:row>
    <x:row r="104" ht="21" customHeight="1">
      <x:c r="A104" s="1" t="str">
        <x:v>2002Q1</x:v>
      </x:c>
      <x:c r="B104" s="5" t="n">
        <x:v>14372.785</x:v>
      </x:c>
      <x:c r="C104" s="5" t="n">
        <x:v>372745</x:v>
      </x:c>
      <x:c r="D104" s="5" t="n">
        <x:v>-0.4672307692307692</x:v>
      </x:c>
      <x:c r="E104" s="5" t="n">
        <x:v>-0.185354257620793</x:v>
      </x:c>
      <x:c r="F104" s="6" t="n">
        <x:v>13</x:v>
      </x:c>
    </x:row>
    <x:row r="105" ht="21" customHeight="1">
      <x:c r="A105" s="1" t="str">
        <x:v>2002Q2</x:v>
      </x:c>
      <x:c r="B105" s="5" t="n">
        <x:v>14460.848</x:v>
      </x:c>
      <x:c r="C105" s="5" t="n">
        <x:v>379233</x:v>
      </x:c>
      <x:c r="D105" s="5" t="n">
        <x:v>-0.5806153846153846</x:v>
      </x:c>
      <x:c r="E105" s="5" t="n">
        <x:v>-0.189164712053938</x:v>
      </x:c>
      <x:c r="F105" s="6" t="n">
        <x:v>13</x:v>
      </x:c>
    </x:row>
    <x:row r="106" ht="21" customHeight="1">
      <x:c r="A106" s="1" t="str">
        <x:v>2002Q3</x:v>
      </x:c>
      <x:c r="B106" s="5" t="n">
        <x:v>14519.633</x:v>
      </x:c>
      <x:c r="C106" s="5" t="n">
        <x:v>380108</x:v>
      </x:c>
      <x:c r="D106" s="5" t="n">
        <x:v>-0.4106153846153846</x:v>
      </x:c>
      <x:c r="E106" s="5" t="n">
        <x:v>-0.0611995992930421</x:v>
      </x:c>
      <x:c r="F106" s="6" t="n">
        <x:v>13</x:v>
      </x:c>
    </x:row>
    <x:row r="107" ht="21" customHeight="1">
      <x:c r="A107" s="1" t="str">
        <x:v>2002Q4</x:v>
      </x:c>
      <x:c r="B107" s="5" t="n">
        <x:v>14537.58</x:v>
      </x:c>
      <x:c r="C107" s="5" t="n">
        <x:v>383279</x:v>
      </x:c>
      <x:c r="D107" s="5" t="n">
        <x:v>-0.41823076923076924</x:v>
      </x:c>
      <x:c r="E107" s="5" t="n">
        <x:v>-0.0778473363348269</x:v>
      </x:c>
      <x:c r="F107" s="6" t="n">
        <x:v>13</x:v>
      </x:c>
    </x:row>
    <x:row r="108" ht="21" customHeight="1">
      <x:c r="A108" s="1" t="str">
        <x:v>2003Q1</x:v>
      </x:c>
      <x:c r="B108" s="5" t="n">
        <x:v>14614.141</x:v>
      </x:c>
      <x:c r="C108" s="5" t="n">
        <x:v>384182</x:v>
      </x:c>
      <x:c r="D108" s="5" t="n">
        <x:v>-0.5282307692307693</x:v>
      </x:c>
      <x:c r="E108" s="5" t="n">
        <x:v>0.0388625725474385</x:v>
      </x:c>
      <x:c r="F108" s="6" t="n">
        <x:v>13</x:v>
      </x:c>
    </x:row>
    <x:row r="109" ht="21" customHeight="1">
      <x:c r="A109" s="1" t="str">
        <x:v>2003Q2</x:v>
      </x:c>
      <x:c r="B109" s="5" t="n">
        <x:v>14743.567</x:v>
      </x:c>
      <x:c r="C109" s="5" t="n">
        <x:v>385753</x:v>
      </x:c>
      <x:c r="D109" s="5" t="n">
        <x:v>-0.6872307692307692</x:v>
      </x:c>
      <x:c r="E109" s="5" t="n">
        <x:v>-0.237096288087567</x:v>
      </x:c>
      <x:c r="F109" s="6" t="n">
        <x:v>13</x:v>
      </x:c>
    </x:row>
    <x:row r="110" ht="21" customHeight="1">
      <x:c r="A110" s="1" t="str">
        <x:v>2003Q3</x:v>
      </x:c>
      <x:c r="B110" s="5" t="n">
        <x:v>14988.782</x:v>
      </x:c>
      <x:c r="C110" s="5" t="n">
        <x:v>392261</x:v>
      </x:c>
      <x:c r="D110" s="5" t="n">
        <x:v>-0.6863846153846154</x:v>
      </x:c>
      <x:c r="E110" s="5" t="n">
        <x:v>-0.251582345590055</x:v>
      </x:c>
      <x:c r="F110" s="6" t="n">
        <x:v>13</x:v>
      </x:c>
    </x:row>
    <x:row r="111" ht="21" customHeight="1">
      <x:c r="A111" s="1" t="str">
        <x:v>2003Q4</x:v>
      </x:c>
      <x:c r="B111" s="5" t="n">
        <x:v>15162.76</x:v>
      </x:c>
      <x:c r="C111" s="5" t="n">
        <x:v>398899</x:v>
      </x:c>
      <x:c r="D111" s="5" t="n">
        <x:v>-0.7082307692307691</x:v>
      </x:c>
      <x:c r="E111" s="5" t="n">
        <x:v>-0.224265281698459</x:v>
      </x:c>
      <x:c r="F111" s="6" t="n">
        <x:v>13</x:v>
      </x:c>
    </x:row>
    <x:row r="112" ht="21" customHeight="1">
      <x:c r="A112" s="1" t="str">
        <x:v>2004Q1</x:v>
      </x:c>
      <x:c r="B112" s="5" t="n">
        <x:v>15248.68</x:v>
      </x:c>
      <x:c r="C112" s="5" t="n">
        <x:v>401910</x:v>
      </x:c>
      <x:c r="D112" s="5" t="n">
        <x:v>-0.7863846153846155</x:v>
      </x:c>
      <x:c r="E112" s="5" t="n">
        <x:v>-0.295390056161631</x:v>
      </x:c>
      <x:c r="F112" s="6" t="n">
        <x:v>13</x:v>
      </x:c>
    </x:row>
    <x:row r="113" ht="21" customHeight="1">
      <x:c r="A113" s="1" t="str">
        <x:v>2004Q2</x:v>
      </x:c>
      <x:c r="B113" s="5" t="n">
        <x:v>15366.85</x:v>
      </x:c>
      <x:c r="C113" s="5" t="n">
        <x:v>404944</x:v>
      </x:c>
      <x:c r="D113" s="5" t="n">
        <x:v>-0.7227692307692308</x:v>
      </x:c>
      <x:c r="E113" s="5" t="n">
        <x:v>-0.287736918378373</x:v>
      </x:c>
      <x:c r="F113" s="6" t="n">
        <x:v>13</x:v>
      </x:c>
    </x:row>
    <x:row r="114" ht="21" customHeight="1">
      <x:c r="A114" s="1" t="str">
        <x:v>2004Q3</x:v>
      </x:c>
      <x:c r="B114" s="5" t="n">
        <x:v>15512.619</x:v>
      </x:c>
      <x:c r="C114" s="5" t="n">
        <x:v>407624</x:v>
      </x:c>
      <x:c r="D114" s="5" t="n">
        <x:v>-0.6939230769230769</x:v>
      </x:c>
      <x:c r="E114" s="5" t="n">
        <x:v>-0.30003862861012</x:v>
      </x:c>
      <x:c r="F114" s="6" t="n">
        <x:v>13</x:v>
      </x:c>
    </x:row>
    <x:row r="115" ht="21" customHeight="1">
      <x:c r="A115" s="1" t="str">
        <x:v>2004Q4</x:v>
      </x:c>
      <x:c r="B115" s="5" t="n">
        <x:v>15670.88</x:v>
      </x:c>
      <x:c r="C115" s="5" t="n">
        <x:v>410710</x:v>
      </x:c>
      <x:c r="D115" s="5" t="n">
        <x:v>-0.704</x:v>
      </x:c>
      <x:c r="E115" s="5" t="n">
        <x:v>-0.456224275577482</x:v>
      </x:c>
      <x:c r="F115" s="6" t="n">
        <x:v>14</x:v>
      </x:c>
    </x:row>
    <x:row r="116" ht="21" customHeight="1">
      <x:c r="A116" s="1" t="str">
        <x:v>2005Q1</x:v>
      </x:c>
      <x:c r="B116" s="5" t="n">
        <x:v>15844.727</x:v>
      </x:c>
      <x:c r="C116" s="5" t="n">
        <x:v>414089</x:v>
      </x:c>
      <x:c r="D116" s="5" t="n">
        <x:v>-0.6960000000000001</x:v>
      </x:c>
      <x:c r="E116" s="5" t="n">
        <x:v>-0.4858900591247</x:v>
      </x:c>
      <x:c r="F116" s="6" t="n">
        <x:v>12</x:v>
      </x:c>
    </x:row>
    <x:row r="117" ht="21" customHeight="1">
      <x:c r="A117" s="1" t="str">
        <x:v>2005Q2</x:v>
      </x:c>
      <x:c r="B117" s="5" t="n">
        <x:v>15922.782</x:v>
      </x:c>
      <x:c r="C117" s="5" t="n">
        <x:v>416015</x:v>
      </x:c>
      <x:c r="D117" s="5" t="n">
        <x:v>-0.61</x:v>
      </x:c>
      <x:c r="E117" s="5" t="n">
        <x:v>-0.448815478149922</x:v>
      </x:c>
      <x:c r="F117" s="6" t="n">
        <x:v>13</x:v>
      </x:c>
    </x:row>
    <x:row r="118" ht="21" customHeight="1">
      <x:c r="A118" s="1" t="str">
        <x:v>2005Q3</x:v>
      </x:c>
      <x:c r="B118" s="5" t="n">
        <x:v>16047.587</x:v>
      </x:c>
      <x:c r="C118" s="5" t="n">
        <x:v>420512</x:v>
      </x:c>
      <x:c r="D118" s="5" t="n">
        <x:v>-0.5957857142857143</x:v>
      </x:c>
      <x:c r="E118" s="5" t="n">
        <x:v>-0.524739773664426</x:v>
      </x:c>
      <x:c r="F118" s="6" t="n">
        <x:v>14</x:v>
      </x:c>
    </x:row>
    <x:row r="119" ht="21" customHeight="1">
      <x:c r="A119" s="1" t="str">
        <x:v>2005Q4</x:v>
      </x:c>
      <x:c r="B119" s="5" t="n">
        <x:v>16136.734</x:v>
      </x:c>
      <x:c r="C119" s="5" t="n">
        <x:v>423912</x:v>
      </x:c>
      <x:c r="D119" s="5" t="n">
        <x:v>-0.5732307692307692</x:v>
      </x:c>
      <x:c r="E119" s="5" t="n">
        <x:v>-0.549585065949164</x:v>
      </x:c>
      <x:c r="F119" s="6" t="n">
        <x:v>13</x:v>
      </x:c>
    </x:row>
    <x:row r="120" ht="21" customHeight="1">
      <x:c r="A120" s="1" t="str">
        <x:v>2006Q1</x:v>
      </x:c>
      <x:c r="B120" s="5" t="n">
        <x:v>16353.835</x:v>
      </x:c>
      <x:c r="C120" s="5" t="n">
        <x:v>424243</x:v>
      </x:c>
      <x:c r="D120" s="5" t="n">
        <x:v>-0.614</x:v>
      </x:c>
      <x:c r="E120" s="5" t="n">
        <x:v>-0.682023198393709</x:v>
      </x:c>
      <x:c r="F120" s="6" t="n">
        <x:v>13</x:v>
      </x:c>
    </x:row>
    <x:row r="121" ht="21" customHeight="1">
      <x:c r="A121" s="1" t="str">
        <x:v>2006Q2</x:v>
      </x:c>
      <x:c r="B121" s="5" t="n">
        <x:v>16396.151</x:v>
      </x:c>
      <x:c r="C121" s="5" t="n">
        <x:v>425448</x:v>
      </x:c>
      <x:c r="D121" s="5" t="n">
        <x:v>-0.5846923076923077</x:v>
      </x:c>
      <x:c r="E121" s="5" t="n">
        <x:v>-0.622611988974947</x:v>
      </x:c>
      <x:c r="F121" s="6" t="n">
        <x:v>13</x:v>
      </x:c>
    </x:row>
    <x:row r="122" ht="21" customHeight="1">
      <x:c r="A122" s="1" t="str">
        <x:v>2006Q3</x:v>
      </x:c>
      <x:c r="B122" s="5" t="n">
        <x:v>16420.738</x:v>
      </x:c>
      <x:c r="C122" s="5" t="n">
        <x:v>431836</x:v>
      </x:c>
      <x:c r="D122" s="5" t="n">
        <x:v>-0.5801538461538461</x:v>
      </x:c>
      <x:c r="E122" s="5" t="n">
        <x:v>-0.628416552724339</x:v>
      </x:c>
      <x:c r="F122" s="6" t="n">
        <x:v>13</x:v>
      </x:c>
    </x:row>
    <x:row r="123" ht="21" customHeight="1">
      <x:c r="A123" s="1" t="str">
        <x:v>2006Q4</x:v>
      </x:c>
      <x:c r="B123" s="5" t="n">
        <x:v>16561.866</x:v>
      </x:c>
      <x:c r="C123" s="5" t="n">
        <x:v>437165</x:v>
      </x:c>
      <x:c r="D123" s="5" t="n">
        <x:v>-0.6234615384615385</x:v>
      </x:c>
      <x:c r="E123" s="5" t="n">
        <x:v>-0.771671689749793</x:v>
      </x:c>
      <x:c r="F123" s="6" t="n">
        <x:v>13</x:v>
      </x:c>
    </x:row>
    <x:row r="124" ht="21" customHeight="1">
      <x:c r="A124" s="1" t="str">
        <x:v>2007Q1</x:v>
      </x:c>
      <x:c r="B124" s="5" t="n">
        <x:v>16611.69</x:v>
      </x:c>
      <x:c r="C124" s="5" t="n">
        <x:v>443184</x:v>
      </x:c>
      <x:c r="D124" s="5" t="n">
        <x:v>-0.6503846153846153</x:v>
      </x:c>
      <x:c r="E124" s="5" t="n">
        <x:v>-0.84877963478626</x:v>
      </x:c>
      <x:c r="F124" s="6" t="n">
        <x:v>13</x:v>
      </x:c>
    </x:row>
    <x:row r="125" ht="21" customHeight="1">
      <x:c r="A125" s="1" t="str">
        <x:v>2007Q2</x:v>
      </x:c>
      <x:c r="B125" s="5" t="n">
        <x:v>16713.314</x:v>
      </x:c>
      <x:c r="C125" s="5" t="n">
        <x:v>446128</x:v>
      </x:c>
      <x:c r="D125" s="5" t="n">
        <x:v>-0.5626923076923077</x:v>
      </x:c>
      <x:c r="E125" s="5" t="n">
        <x:v>-0.910853763106293</x:v>
      </x:c>
      <x:c r="F125" s="6" t="n">
        <x:v>13</x:v>
      </x:c>
    </x:row>
    <x:row r="126" ht="21" customHeight="1">
      <x:c r="A126" s="1" t="str">
        <x:v>2007Q3</x:v>
      </x:c>
      <x:c r="B126" s="5" t="n">
        <x:v>16809.587</x:v>
      </x:c>
      <x:c r="C126" s="5" t="n">
        <x:v>451354</x:v>
      </x:c>
      <x:c r="D126" s="5" t="n">
        <x:v>-0.060230769230769234</x:v>
      </x:c>
      <x:c r="E126" s="5" t="n">
        <x:v>-0.773840778336015</x:v>
      </x:c>
      <x:c r="F126" s="6" t="n">
        <x:v>13</x:v>
      </x:c>
    </x:row>
    <x:row r="127" ht="21" customHeight="1">
      <x:c r="A127" s="1" t="str">
        <x:v>2007Q4</x:v>
      </x:c>
      <x:c r="B127" s="5" t="n">
        <x:v>16915.191</x:v>
      </x:c>
      <x:c r="C127" s="5" t="n">
        <x:v>452939</x:v>
      </x:c>
      <x:c r="D127" s="5" t="n">
        <x:v>0.274</x:v>
      </x:c>
      <x:c r="E127" s="5" t="n">
        <x:v>-0.610183437140803</x:v>
      </x:c>
      <x:c r="F127" s="6" t="n">
        <x:v>13</x:v>
      </x:c>
    </x:row>
    <x:row r="128" ht="21" customHeight="1">
      <x:c r="A128" s="1" t="str">
        <x:v>2008Q1</x:v>
      </x:c>
      <x:c r="B128" s="5" t="n">
        <x:v>16843.003</x:v>
      </x:c>
      <x:c r="C128" s="5" t="n">
        <x:v>458030</x:v>
      </x:c>
      <x:c r="D128" s="5" t="n">
        <x:v>0.6550769230769231</x:v>
      </x:c>
      <x:c r="E128" s="5" t="n">
        <x:v>0.124452990705573</x:v>
      </x:c>
      <x:c r="F128" s="6" t="n">
        <x:v>13</x:v>
      </x:c>
    </x:row>
    <x:row r="129" ht="21" customHeight="1">
      <x:c r="A129" s="1" t="str">
        <x:v>2008Q2</x:v>
      </x:c>
      <x:c r="B129" s="5" t="n">
        <x:v>16943.291</x:v>
      </x:c>
      <x:c r="C129" s="5" t="n">
        <x:v>459711</x:v>
      </x:c>
      <x:c r="D129" s="5" t="n">
        <x:v>0.6357692307692309</x:v>
      </x:c>
      <x:c r="E129" s="5" t="n">
        <x:v>0.196809399987664</x:v>
      </x:c>
      <x:c r="F129" s="6" t="n">
        <x:v>13</x:v>
      </x:c>
    </x:row>
    <x:row r="130" ht="21" customHeight="1">
      <x:c r="A130" s="1" t="str">
        <x:v>2008Q3</x:v>
      </x:c>
      <x:c r="B130" s="5" t="n">
        <x:v>16854.295</x:v>
      </x:c>
      <x:c r="C130" s="5" t="n">
        <x:v>462813</x:v>
      </x:c>
      <x:c r="D130" s="5" t="n">
        <x:v>0.9362307692307692</x:v>
      </x:c>
      <x:c r="E130" s="5" t="n">
        <x:v>0.434645335024349</x:v>
      </x:c>
      <x:c r="F130" s="6" t="n">
        <x:v>13</x:v>
      </x:c>
    </x:row>
    <x:row r="131" ht="21" customHeight="1">
      <x:c r="A131" s="1" t="str">
        <x:v>2008Q4</x:v>
      </x:c>
      <x:c r="B131" s="5" t="n">
        <x:v>16485.35</x:v>
      </x:c>
      <x:c r="C131" s="5" t="n">
        <x:v>460801</x:v>
      </x:c>
      <x:c r="D131" s="5" t="n">
        <x:v>2.7809999999999997</x:v>
      </x:c>
      <x:c r="E131" s="5" t="n">
        <x:v>1.28177029981337</x:v>
      </x:c>
      <x:c r="F131" s="6" t="n">
        <x:v>13</x:v>
      </x:c>
    </x:row>
    <x:row r="132" ht="21" customHeight="1">
      <x:c r="A132" s="1" t="str">
        <x:v>2009Q1</x:v>
      </x:c>
      <x:c r="B132" s="5" t="n">
        <x:v>16298.262</x:v>
      </x:c>
      <x:c r="C132" s="5" t="n">
        <x:v>465513</x:v>
      </x:c>
      <x:c r="D132" s="5" t="n">
        <x:v>2.186384615384615</x:v>
      </x:c>
      <x:c r="E132" s="5" t="n">
        <x:v>1.4761972884534</x:v>
      </x:c>
      <x:c r="F132" s="6" t="n">
        <x:v>13</x:v>
      </x:c>
    </x:row>
    <x:row r="133" ht="21" customHeight="1">
      <x:c r="A133" s="1" t="str">
        <x:v>2009Q2</x:v>
      </x:c>
      <x:c r="B133" s="5" t="n">
        <x:v>16269.145</x:v>
      </x:c>
      <x:c r="C133" s="5" t="n">
        <x:v>468525</x:v>
      </x:c>
      <x:c r="D133" s="5" t="n">
        <x:v>1.137076923076923</x:v>
      </x:c>
      <x:c r="E133" s="5" t="n">
        <x:v>0.927379379209721</x:v>
      </x:c>
      <x:c r="F133" s="6" t="n">
        <x:v>13</x:v>
      </x:c>
    </x:row>
    <x:row r="134" ht="21" customHeight="1">
      <x:c r="A134" s="1" t="str">
        <x:v>2009Q3</x:v>
      </x:c>
      <x:c r="B134" s="5" t="n">
        <x:v>16326.281</x:v>
      </x:c>
      <x:c r="C134" s="5" t="n">
        <x:v>469982</x:v>
      </x:c>
      <x:c r="D134" s="5" t="n">
        <x:v>0.3555384615384615</x:v>
      </x:c>
      <x:c r="E134" s="5" t="n">
        <x:v>0.35994238230716</x:v>
      </x:c>
      <x:c r="F134" s="6" t="n">
        <x:v>13</x:v>
      </x:c>
    </x:row>
    <x:row r="135" ht="21" customHeight="1">
      <x:c r="A135" s="1" t="str">
        <x:v>2009Q4</x:v>
      </x:c>
      <x:c r="B135" s="5" t="n">
        <x:v>16502.754</x:v>
      </x:c>
      <x:c r="C135" s="5" t="n">
        <x:v>473770</x:v>
      </x:c>
      <x:c r="D135" s="5" t="n">
        <x:v>-0.008461538461538461</x:v>
      </x:c>
      <x:c r="E135" s="5" t="n">
        <x:v>0.250980021718312</x:v>
      </x:c>
      <x:c r="F135" s="6" t="n">
        <x:v>13</x:v>
      </x:c>
    </x:row>
    <x:row r="136" ht="21" customHeight="1">
      <x:c r="A136" s="1" t="str">
        <x:v>2010Q1</x:v>
      </x:c>
      <x:c r="B136" s="5" t="n">
        <x:v>16582.71</x:v>
      </x:c>
      <x:c r="C136" s="5" t="n">
        <x:v>475949</x:v>
      </x:c>
      <x:c r="D136" s="5" t="n">
        <x:v>-0.24169230769230768</x:v>
      </x:c>
      <x:c r="E136" s="5" t="n">
        <x:v>0.106333470288117</x:v>
      </x:c>
      <x:c r="F136" s="6" t="n">
        <x:v>13</x:v>
      </x:c>
    </x:row>
    <x:row r="137" ht="21" customHeight="1">
      <x:c r="A137" s="1" t="str">
        <x:v>2010Q2</x:v>
      </x:c>
      <x:c r="B137" s="5" t="n">
        <x:v>16743.162</x:v>
      </x:c>
      <x:c r="C137" s="5" t="n">
        <x:v>479006</x:v>
      </x:c>
      <x:c r="D137" s="5" t="n">
        <x:v>-0.22046153846153846</x:v>
      </x:c>
      <x:c r="E137" s="5" t="n">
        <x:v>0.27551162468084</x:v>
      </x:c>
      <x:c r="F137" s="6" t="n">
        <x:v>13</x:v>
      </x:c>
    </x:row>
    <x:row r="138" ht="21" customHeight="1">
      <x:c r="A138" s="1" t="str">
        <x:v>2010Q3</x:v>
      </x:c>
      <x:c r="B138" s="5" t="n">
        <x:v>16872.266</x:v>
      </x:c>
      <x:c r="C138" s="5" t="n">
        <x:v>482198</x:v>
      </x:c>
      <x:c r="D138" s="5" t="n">
        <x:v>-0.2373076923076923</x:v>
      </x:c>
      <x:c r="E138" s="5" t="n">
        <x:v>0.169654462513009</x:v>
      </x:c>
      <x:c r="F138" s="6" t="n">
        <x:v>13</x:v>
      </x:c>
    </x:row>
    <x:row r="139" ht="21" customHeight="1">
      <x:c r="A139" s="1" t="str">
        <x:v>2010Q4</x:v>
      </x:c>
      <x:c r="B139" s="5" t="n">
        <x:v>16960.864</x:v>
      </x:c>
      <x:c r="C139" s="5" t="n">
        <x:v>486229</x:v>
      </x:c>
      <x:c r="D139" s="5" t="n">
        <x:v>-0.43535714285714283</x:v>
      </x:c>
      <x:c r="E139" s="5" t="n">
        <x:v>0.0935621474941684</x:v>
      </x:c>
      <x:c r="F139" s="6" t="n">
        <x:v>14</x:v>
      </x:c>
    </x:row>
    <x:row r="140" ht="21" customHeight="1">
      <x:c r="A140" s="1" t="str">
        <x:v>2011Q1</x:v>
      </x:c>
      <x:c r="B140" s="5" t="n">
        <x:v>16920.632</x:v>
      </x:c>
      <x:c r="C140" s="5" t="n">
        <x:v>484903</x:v>
      </x:c>
      <x:c r="D140" s="5" t="n">
        <x:v>-0.5634166666666667</x:v>
      </x:c>
      <x:c r="E140" s="5" t="n">
        <x:v>0.0704251430818768</x:v>
      </x:c>
      <x:c r="F140" s="6" t="n">
        <x:v>12</x:v>
      </x:c>
    </x:row>
    <x:row r="141" ht="21" customHeight="1">
      <x:c r="A141" s="1" t="str">
        <x:v>2011Q2</x:v>
      </x:c>
      <x:c r="B141" s="5" t="n">
        <x:v>17035.114</x:v>
      </x:c>
      <x:c r="C141" s="5" t="n">
        <x:v>490846</x:v>
      </x:c>
      <x:c r="D141" s="5" t="n">
        <x:v>-0.5603846153846154</x:v>
      </x:c>
      <x:c r="E141" s="5" t="n">
        <x:v>0.0992395952818372</x:v>
      </x:c>
      <x:c r="F141" s="6" t="n">
        <x:v>13</x:v>
      </x:c>
    </x:row>
    <x:row r="142" ht="21" customHeight="1">
      <x:c r="A142" s="1" t="str">
        <x:v>2011Q3</x:v>
      </x:c>
      <x:c r="B142" s="5" t="n">
        <x:v>17031.313</x:v>
      </x:c>
      <x:c r="C142" s="5" t="n">
        <x:v>497511</x:v>
      </x:c>
      <x:c r="D142" s="5" t="n">
        <x:v>-0.2467857142857143</x:v>
      </x:c>
      <x:c r="E142" s="5" t="n">
        <x:v>0.362178161943217</x:v>
      </x:c>
      <x:c r="F142" s="6" t="n">
        <x:v>14</x:v>
      </x:c>
    </x:row>
    <x:row r="143" ht="21" customHeight="1">
      <x:c r="A143" s="1" t="str">
        <x:v>2011Q4</x:v>
      </x:c>
      <x:c r="B143" s="5" t="n">
        <x:v>17222.583</x:v>
      </x:c>
      <x:c r="C143" s="5" t="n">
        <x:v>503039</x:v>
      </x:c>
      <x:c r="D143" s="5" t="n">
        <x:v>-0.08676923076923078</x:v>
      </x:c>
      <x:c r="E143" s="5" t="n">
        <x:v>0.263758099718035</x:v>
      </x:c>
      <x:c r="F143" s="6" t="n">
        <x:v>13</x:v>
      </x:c>
    </x:row>
    <x:row r="144" ht="21" customHeight="1">
      <x:c r="A144" s="1" t="str">
        <x:v>2012Q1</x:v>
      </x:c>
      <x:c r="B144" s="5" t="n">
        <x:v>17367.01</x:v>
      </x:c>
      <x:c r="C144" s="5" t="n">
        <x:v>508399</x:v>
      </x:c>
      <x:c r="D144" s="5" t="n">
        <x:v>-0.35930769230769233</x:v>
      </x:c>
      <x:c r="E144" s="5" t="n">
        <x:v>0.173876085980507</x:v>
      </x:c>
      <x:c r="F144" s="6" t="n">
        <x:v>13</x:v>
      </x:c>
    </x:row>
    <x:row r="145" ht="21" customHeight="1">
      <x:c r="A145" s="1" t="str">
        <x:v>2012Q2</x:v>
      </x:c>
      <x:c r="B145" s="5" t="n">
        <x:v>17444.525</x:v>
      </x:c>
      <x:c r="C145" s="5" t="n">
        <x:v>512069</x:v>
      </x:c>
      <x:c r="D145" s="5" t="n">
        <x:v>-0.3113076923076923</x:v>
      </x:c>
      <x:c r="E145" s="5" t="n">
        <x:v>0.297910285258078</x:v>
      </x:c>
      <x:c r="F145" s="6" t="n">
        <x:v>13</x:v>
      </x:c>
    </x:row>
    <x:row r="146" ht="21" customHeight="1">
      <x:c r="A146" s="1" t="str">
        <x:v>2012Q3</x:v>
      </x:c>
      <x:c r="B146" s="5" t="n">
        <x:v>17469.65</x:v>
      </x:c>
      <x:c r="C146" s="5" t="n">
        <x:v>515083</x:v>
      </x:c>
      <x:c r="D146" s="5" t="n">
        <x:v>-0.4190769230769231</x:v>
      </x:c>
      <x:c r="E146" s="5" t="n">
        <x:v>0.13617391121592</x:v>
      </x:c>
      <x:c r="F146" s="6" t="n">
        <x:v>13</x:v>
      </x:c>
    </x:row>
    <x:row r="147" ht="21" customHeight="1">
      <x:c r="A147" s="1" t="str">
        <x:v>2012Q4</x:v>
      </x:c>
      <x:c r="B147" s="5" t="n">
        <x:v>17489.852</x:v>
      </x:c>
      <x:c r="C147" s="5" t="n">
        <x:v>517341</x:v>
      </x:c>
      <x:c r="D147" s="5" t="n">
        <x:v>-0.5562307692307692</x:v>
      </x:c>
      <x:c r="E147" s="5" t="n">
        <x:v>0.0889012774224726</x:v>
      </x:c>
      <x:c r="F147" s="6" t="n">
        <x:v>13</x:v>
      </x:c>
    </x:row>
    <x:row r="148" ht="21" customHeight="1">
      <x:c r="A148" s="1" t="str">
        <x:v>2013Q1</x:v>
      </x:c>
      <x:c r="B148" s="5" t="n">
        <x:v>17662.4</x:v>
      </x:c>
      <x:c r="C148" s="5" t="n">
        <x:v>520159</x:v>
      </x:c>
      <x:c r="D148" s="5" t="n">
        <x:v>-0.6434615384615385</x:v>
      </x:c>
      <x:c r="E148" s="5" t="n">
        <x:v>-0.0745564419055965</x:v>
      </x:c>
      <x:c r="F148" s="6" t="n">
        <x:v>13</x:v>
      </x:c>
    </x:row>
    <x:row r="149" ht="21" customHeight="1">
      <x:c r="A149" s="1" t="str">
        <x:v>2013Q2</x:v>
      </x:c>
      <x:c r="B149" s="5" t="n">
        <x:v>17709.671</x:v>
      </x:c>
      <x:c r="C149" s="5" t="n">
        <x:v>522083</x:v>
      </x:c>
      <x:c r="D149" s="5" t="n">
        <x:v>-0.6803846153846155</x:v>
      </x:c>
      <x:c r="E149" s="5" t="n">
        <x:v>0.0958705596429782</x:v>
      </x:c>
      <x:c r="F149" s="6" t="n">
        <x:v>13</x:v>
      </x:c>
    </x:row>
    <x:row r="150" ht="21" customHeight="1">
      <x:c r="A150" s="1" t="str">
        <x:v>2013Q3</x:v>
      </x:c>
      <x:c r="B150" s="5" t="n">
        <x:v>17860.45</x:v>
      </x:c>
      <x:c r="C150" s="5" t="n">
        <x:v>526314</x:v>
      </x:c>
      <x:c r="D150" s="5" t="n">
        <x:v>-0.6584615384615385</x:v>
      </x:c>
      <x:c r="E150" s="5" t="n">
        <x:v>-0.0590076610061276</x:v>
      </x:c>
      <x:c r="F150" s="6" t="n">
        <x:v>13</x:v>
      </x:c>
    </x:row>
    <x:row r="151" ht="21" customHeight="1">
      <x:c r="A151" s="1" t="str">
        <x:v>2013Q4</x:v>
      </x:c>
      <x:c r="B151" s="5" t="n">
        <x:v>18016.147</x:v>
      </x:c>
      <x:c r="C151" s="5" t="n">
        <x:v>530419</x:v>
      </x:c>
      <x:c r="D151" s="5" t="n">
        <x:v>-0.7434615384615384</x:v>
      </x:c>
      <x:c r="E151" s="5" t="n">
        <x:v>-0.017302091018306</x:v>
      </x:c>
      <x:c r="F151" s="6" t="n">
        <x:v>13</x:v>
      </x:c>
    </x:row>
    <x:row r="152" ht="21" customHeight="1">
      <x:c r="A152" s="1" t="str">
        <x:v>2014Q1</x:v>
      </x:c>
      <x:c r="B152" s="5" t="n">
        <x:v>17953.974</x:v>
      </x:c>
      <x:c r="C152" s="5" t="n">
        <x:v>534667</x:v>
      </x:c>
      <x:c r="D152" s="5" t="n">
        <x:v>-0.7699230769230769</x:v>
      </x:c>
      <x:c r="E152" s="5" t="n">
        <x:v>-0.0745666582217951</x:v>
      </x:c>
      <x:c r="F152" s="6" t="n">
        <x:v>13</x:v>
      </x:c>
    </x:row>
    <x:row r="153" ht="21" customHeight="1">
      <x:c r="A153" s="1" t="str">
        <x:v>2014Q2</x:v>
      </x:c>
      <x:c r="B153" s="5" t="n">
        <x:v>18185.911</x:v>
      </x:c>
      <x:c r="C153" s="5" t="n">
        <x:v>537231</x:v>
      </x:c>
      <x:c r="D153" s="5" t="n">
        <x:v>-0.7770769230769231</x:v>
      </x:c>
      <x:c r="E153" s="5" t="n">
        <x:v>-0.108195309053033</x:v>
      </x:c>
      <x:c r="F153" s="6" t="n">
        <x:v>13</x:v>
      </x:c>
    </x:row>
    <x:row r="154" ht="21" customHeight="1">
      <x:c r="A154" s="1" t="str">
        <x:v>2014Q3</x:v>
      </x:c>
      <x:c r="B154" s="5" t="n">
        <x:v>18406.941</x:v>
      </x:c>
      <x:c r="C154" s="5" t="n">
        <x:v>539397</x:v>
      </x:c>
      <x:c r="D154" s="5" t="n">
        <x:v>-0.7230769230769231</x:v>
      </x:c>
      <x:c r="E154" s="5" t="n">
        <x:v>-0.133384681513143</x:v>
      </x:c>
      <x:c r="F154" s="6" t="n">
        <x:v>13</x:v>
      </x:c>
    </x:row>
    <x:row r="155" ht="21" customHeight="1">
      <x:c r="A155" s="1" t="str">
        <x:v>2014Q4</x:v>
      </x:c>
      <x:c r="B155" s="5" t="n">
        <x:v>18500.031</x:v>
      </x:c>
      <x:c r="C155" s="5" t="n">
        <x:v>541390</x:v>
      </x:c>
      <x:c r="D155" s="5" t="n">
        <x:v>-0.6331538461538462</x:v>
      </x:c>
      <x:c r="E155" s="5" t="n">
        <x:v>-0.101340896725444</x:v>
      </x:c>
      <x:c r="F155" s="6" t="n">
        <x:v>13</x:v>
      </x:c>
    </x:row>
    <x:row r="156" ht="21" customHeight="1">
      <x:c r="A156" s="1" t="str">
        <x:v>2015Q1</x:v>
      </x:c>
      <x:c r="B156" s="5" t="n">
        <x:v>18666.621</x:v>
      </x:c>
      <x:c r="C156" s="5" t="n">
        <x:v>546692</x:v>
      </x:c>
      <x:c r="D156" s="5" t="n">
        <x:v>-0.5223846153846154</x:v>
      </x:c>
      <x:c r="E156" s="5" t="n">
        <x:v>-0.339700959578027</x:v>
      </x:c>
      <x:c r="F156" s="6" t="n">
        <x:v>13</x:v>
      </x:c>
    </x:row>
    <x:row r="157" ht="21" customHeight="1">
      <x:c r="A157" s="1" t="str">
        <x:v>2015Q2</x:v>
      </x:c>
      <x:c r="B157" s="5" t="n">
        <x:v>18782.243</x:v>
      </x:c>
      <x:c r="C157" s="5" t="n">
        <x:v>547224</x:v>
      </x:c>
      <x:c r="D157" s="5" t="n">
        <x:v>-0.5420769230769231</x:v>
      </x:c>
      <x:c r="E157" s="5" t="n">
        <x:v>-0.257426864486975</x:v>
      </x:c>
      <x:c r="F157" s="6" t="n">
        <x:v>13</x:v>
      </x:c>
    </x:row>
    <x:row r="158" ht="21" customHeight="1">
      <x:c r="A158" s="1" t="str">
        <x:v>2015Q3</x:v>
      </x:c>
      <x:c r="B158" s="5" t="n">
        <x:v>18857.418</x:v>
      </x:c>
      <x:c r="C158" s="5" t="n">
        <x:v>552637</x:v>
      </x:c>
      <x:c r="D158" s="5" t="n">
        <x:v>-0.46007692307692305</x:v>
      </x:c>
      <x:c r="E158" s="5" t="n">
        <x:v>-0.0756368258781003</x:v>
      </x:c>
      <x:c r="F158" s="6" t="n">
        <x:v>13</x:v>
      </x:c>
    </x:row>
    <x:row r="159" ht="21" customHeight="1">
      <x:c r="A159" s="1" t="str">
        <x:v>2015Q4</x:v>
      </x:c>
      <x:c r="B159" s="5" t="n">
        <x:v>18892.206</x:v>
      </x:c>
      <x:c r="C159" s="5" t="n">
        <x:v>556034</x:v>
      </x:c>
      <x:c r="D159" s="5" t="n">
        <x:v>-0.43</x:v>
      </x:c>
      <x:c r="E159" s="5" t="n">
        <x:v>-0.13828533407012</x:v>
      </x:c>
      <x:c r="F159" s="6" t="n">
        <x:v>13</x:v>
      </x:c>
    </x:row>
    <x:row r="160" ht="21" customHeight="1">
      <x:c r="A160" s="1" t="str">
        <x:v>2016Q1</x:v>
      </x:c>
      <x:c r="B160" s="5" t="n">
        <x:v>19001.69</x:v>
      </x:c>
      <x:c r="C160" s="5" t="n">
        <x:v>561181</x:v>
      </x:c>
      <x:c r="D160" s="5" t="n">
        <x:v>-0.3220769230769231</x:v>
      </x:c>
      <x:c r="E160" s="5" t="n">
        <x:v>-0.0671280861454414</x:v>
      </x:c>
      <x:c r="F160" s="6" t="n">
        <x:v>13</x:v>
      </x:c>
    </x:row>
    <x:row r="161" ht="21" customHeight="1">
      <x:c r="A161" s="1" t="str">
        <x:v>2016Q2</x:v>
      </x:c>
      <x:c r="B161" s="5" t="n">
        <x:v>19062.709</x:v>
      </x:c>
      <x:c r="C161" s="5" t="n">
        <x:v>564778</x:v>
      </x:c>
      <x:c r="D161" s="5" t="n">
        <x:v>-0.37146153846153845</x:v>
      </x:c>
      <x:c r="E161" s="5" t="n">
        <x:v>-0.101059576004285</x:v>
      </x:c>
      <x:c r="F161" s="6" t="n">
        <x:v>13</x:v>
      </x:c>
    </x:row>
    <x:row r="162" ht="21" customHeight="1">
      <x:c r="A162" s="1" t="str">
        <x:v>2016Q3</x:v>
      </x:c>
      <x:c r="B162" s="5" t="n">
        <x:v>19197.938</x:v>
      </x:c>
      <x:c r="C162" s="5" t="n">
        <x:v>564810</x:v>
      </x:c>
      <x:c r="D162" s="5" t="n">
        <x:v>-0.34635714285714286</x:v>
      </x:c>
      <x:c r="E162" s="5" t="n">
        <x:v>-0.117922020910666</x:v>
      </x:c>
      <x:c r="F162" s="6" t="n">
        <x:v>14</x:v>
      </x:c>
    </x:row>
    <x:row r="163" ht="21" customHeight="1">
      <x:c r="A163" s="1" t="str">
        <x:v>2016Q4</x:v>
      </x:c>
      <x:c r="B163" s="5" t="n">
        <x:v>19304.352</x:v>
      </x:c>
      <x:c r="C163" s="5" t="n">
        <x:v>571330</x:v>
      </x:c>
      <x:c r="D163" s="5" t="n">
        <x:v>-0.4097692307692308</x:v>
      </x:c>
      <x:c r="E163" s="5" t="n">
        <x:v>-0.138248755325419</x:v>
      </x:c>
      <x:c r="F163" s="6" t="n">
        <x:v>13</x:v>
      </x:c>
    </x:row>
    <x:row r="164" ht="21" customHeight="1">
      <x:c r="A164" s="1" t="str">
        <x:v>2017Q1</x:v>
      </x:c>
      <x:c r="B164" s="5" t="n">
        <x:v>19398.343</x:v>
      </x:c>
      <x:c r="C164" s="5" t="n">
        <x:v>573227</x:v>
      </x:c>
      <x:c r="D164" s="5" t="n">
        <x:v>-0.4807692307692308</x:v>
      </x:c>
      <x:c r="E164" s="5" t="n">
        <x:v>-0.182931246390092</x:v>
      </x:c>
      <x:c r="F164" s="6" t="n">
        <x:v>13</x:v>
      </x:c>
    </x:row>
    <x:row r="165" ht="21" customHeight="1">
      <x:c r="A165" s="1" t="str">
        <x:v>2017Q2</x:v>
      </x:c>
      <x:c r="B165" s="5" t="n">
        <x:v>19506.949</x:v>
      </x:c>
      <x:c r="C165" s="5" t="n">
        <x:v>576511</x:v>
      </x:c>
      <x:c r="D165" s="5" t="n">
        <x:v>-0.5296153846153846</x:v>
      </x:c>
      <x:c r="E165" s="5" t="n">
        <x:v>-0.119794313164925</x:v>
      </x:c>
      <x:c r="F165" s="6" t="n">
        <x:v>13</x:v>
      </x:c>
    </x:row>
    <x:row r="166" ht="21" customHeight="1">
      <x:c r="A166" s="1" t="str">
        <x:v>2017Q3</x:v>
      </x:c>
      <x:c r="B166" s="5" t="n">
        <x:v>19660.766</x:v>
      </x:c>
      <x:c r="C166" s="5" t="n">
        <x:v>582038</x:v>
      </x:c>
      <x:c r="D166" s="5" t="n">
        <x:v>-0.5655384615384615</x:v>
      </x:c>
      <x:c r="E166" s="5" t="n">
        <x:v>-0.0795061611720005</x:v>
      </x:c>
      <x:c r="F166" s="6" t="n">
        <x:v>13</x:v>
      </x:c>
    </x:row>
    <x:row r="167" ht="21" customHeight="1">
      <x:c r="A167" s="1" t="str">
        <x:v>2017Q4</x:v>
      </x:c>
      <x:c r="B167" s="5" t="n">
        <x:v>19882.352</x:v>
      </x:c>
      <x:c r="C167" s="5" t="n">
        <x:v>584318</x:v>
      </x:c>
      <x:c r="D167" s="5" t="n">
        <x:v>-0.5981538461538461</x:v>
      </x:c>
      <x:c r="E167" s="5" t="n">
        <x:v>-0.188281128134263</x:v>
      </x:c>
      <x:c r="F167" s="6" t="n">
        <x:v>13</x:v>
      </x:c>
    </x:row>
    <x:row r="168" ht="21" customHeight="1">
      <x:c r="A168" s="1" t="str">
        <x:v>2018Q1</x:v>
      </x:c>
      <x:c r="B168" s="5" t="n">
        <x:v>20044.077</x:v>
      </x:c>
      <x:c r="C168" s="5" t="n">
        <x:v>590527</x:v>
      </x:c>
      <x:c r="D168" s="5" t="n">
        <x:v>-0.5586923076923077</x:v>
      </x:c>
      <x:c r="E168" s="5" t="n">
        <x:v>-0.0799821965113474</x:v>
      </x:c>
      <x:c r="F168" s="6" t="n">
        <x:v>13</x:v>
      </x:c>
    </x:row>
    <x:row r="169" ht="21" customHeight="1">
      <x:c r="A169" s="1" t="str">
        <x:v>2018Q2</x:v>
      </x:c>
      <x:c r="B169" s="5" t="n">
        <x:v>20150.476</x:v>
      </x:c>
      <x:c r="C169" s="5" t="n">
        <x:v>594694</x:v>
      </x:c>
      <x:c r="D169" s="5" t="n">
        <x:v>-0.5420769230769231</x:v>
      </x:c>
      <x:c r="E169" s="5" t="n">
        <x:v>-0.109950136875591</x:v>
      </x:c>
      <x:c r="F169" s="6" t="n">
        <x:v>13</x:v>
      </x:c>
    </x:row>
    <x:row r="170" ht="21" customHeight="1">
      <x:c r="A170" s="1" t="str">
        <x:v>2018Q3</x:v>
      </x:c>
      <x:c r="B170" s="5" t="n">
        <x:v>20276.154</x:v>
      </x:c>
      <x:c r="C170" s="5" t="n">
        <x:v>596975</x:v>
      </x:c>
      <x:c r="D170" s="5" t="n">
        <x:v>-0.5773846153846154</x:v>
      </x:c>
      <x:c r="E170" s="5" t="n">
        <x:v>-0.127922849792257</x:v>
      </x:c>
      <x:c r="F170" s="6" t="n">
        <x:v>13</x:v>
      </x:c>
    </x:row>
    <x:row r="171" ht="21" customHeight="1">
      <x:c r="A171" s="1" t="str">
        <x:v>2018Q4</x:v>
      </x:c>
      <x:c r="B171" s="5" t="n">
        <x:v>20304.874</x:v>
      </x:c>
      <x:c r="C171" s="5" t="n">
        <x:v>598406</x:v>
      </x:c>
      <x:c r="D171" s="5" t="n">
        <x:v>-0.4993076923076923</x:v>
      </x:c>
      <x:c r="E171" s="5" t="n">
        <x:v>0.173020119816201</x:v>
      </x:c>
      <x:c r="F171" s="6" t="n">
        <x:v>13</x:v>
      </x:c>
    </x:row>
    <x:row r="172" ht="21" customHeight="1">
      <x:c r="A172" s="1" t="str">
        <x:v>2019Q1</x:v>
      </x:c>
      <x:c r="B172" s="5" t="n">
        <x:v>20431.641</x:v>
      </x:c>
      <x:c r="C172" s="5" t="n">
        <x:v>603121</x:v>
      </x:c>
      <x:c r="D172" s="5" t="n">
        <x:v>-0.5460769230769231</x:v>
      </x:c>
      <x:c r="E172" s="5" t="n">
        <x:v>0.0406773836187762</x:v>
      </x:c>
      <x:c r="F172" s="6" t="n">
        <x:v>13</x:v>
      </x:c>
    </x:row>
    <x:row r="173" ht="21" customHeight="1">
      <x:c r="A173" s="1" t="str">
        <x:v>2019Q2</x:v>
      </x:c>
      <x:c r="B173" s="5" t="n">
        <x:v>20602.275</x:v>
      </x:c>
      <x:c r="C173" s="5" t="n">
        <x:v>604669</x:v>
      </x:c>
      <x:c r="D173" s="5" t="n">
        <x:v>-0.5933076923076922</x:v>
      </x:c>
      <x:c r="E173" s="5" t="n">
        <x:v>-0.0355424187676245</x:v>
      </x:c>
      <x:c r="F173" s="6" t="n">
        <x:v>13</x:v>
      </x:c>
    </x:row>
    <x:row r="174" ht="21" customHeight="1">
      <x:c r="A174" s="1" t="str">
        <x:v>2019Q3</x:v>
      </x:c>
      <x:c r="B174" s="5" t="n">
        <x:v>20843.322</x:v>
      </x:c>
      <x:c r="C174" s="5" t="n">
        <x:v>608155</x:v>
      </x:c>
      <x:c r="D174" s="5" t="n">
        <x:v>-0.5459230769230768</x:v>
      </x:c>
      <x:c r="E174" s="5" t="n">
        <x:v>-0.0718830858817785</x:v>
      </x:c>
      <x:c r="F174" s="6" t="n">
        <x:v>13</x:v>
      </x:c>
    </x:row>
    <x:row r="175" ht="21" customHeight="1">
      <x:c r="A175" s="1" t="str">
        <x:v>2019Q4</x:v>
      </x:c>
      <x:c r="B175" s="5" t="n">
        <x:v>20985.448</x:v>
      </x:c>
      <x:c r="C175" s="5" t="n">
        <x:v>611732</x:v>
      </x:c>
      <x:c r="D175" s="5" t="n">
        <x:v>-0.5523846153846154</x:v>
      </x:c>
      <x:c r="E175" s="5" t="n">
        <x:v>-0.0868064940699503</x:v>
      </x:c>
      <x:c r="F175" s="6" t="n">
        <x:v>13</x:v>
      </x:c>
    </x:row>
    <x:row r="176" ht="21" customHeight="1">
      <x:c r="A176" s="1" t="str">
        <x:v>2020Q1</x:v>
      </x:c>
      <x:c r="B176" s="5" t="n">
        <x:v>20709.212</x:v>
      </x:c>
      <x:c r="C176" s="5" t="n">
        <x:v>610772</x:v>
      </x:c>
      <x:c r="D176" s="5" t="n">
        <x:v>-0.3475384615384615</x:v>
      </x:c>
      <x:c r="E176" s="5" t="n">
        <x:v>0.65710691423763</x:v>
      </x:c>
      <x:c r="F176" s="6" t="n">
        <x:v>13</x:v>
      </x:c>
    </x:row>
    <x:row r="177" ht="21" customHeight="1">
      <x:c r="A177" s="1" t="str">
        <x:v>2020Q2</x:v>
      </x:c>
      <x:c r="B177" s="5" t="n">
        <x:v>19077.992</x:v>
      </x:c>
      <x:c r="C177" s="5" t="n">
        <x:v>569303</x:v>
      </x:c>
      <x:c r="D177" s="5" t="n">
        <x:v>-0.07653846153846154</x:v>
      </x:c>
      <x:c r="E177" s="5" t="n">
        <x:v>0.494225304310129</x:v>
      </x:c>
      <x:c r="F177" s="6" t="n">
        <x:v>13</x:v>
      </x:c>
    </x:row>
    <x:row r="178" ht="21" customHeight="1">
      <x:c r="A178" s="1" t="str">
        <x:v>2020Q3</x:v>
      </x:c>
      <x:c r="B178" s="5" t="n">
        <x:v>20558.879</x:v>
      </x:c>
      <x:c r="C178" s="5" t="n">
        <x:v>588877</x:v>
      </x:c>
      <x:c r="D178" s="5" t="n">
        <x:v>-0.4756923076923077</x:v>
      </x:c>
      <x:c r="E178" s="5" t="n">
        <x:v>0.486888148730927</x:v>
      </x:c>
      <x:c r="F178" s="6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6" customHeight="1">
      <x:c r="A1" s="4" t="str">
        <x:v>Item</x:v>
      </x:c>
      <x:c r="B1" s="4" t="str">
        <x:v>Definition / source</x:v>
      </x:c>
    </x:row>
    <x:row r="2" ht="47" customHeight="1">
      <x:c r="A2" s="7" t="str">
        <x:v>Sample</x:v>
      </x:c>
      <x:c r="B2" s="7" t="str">
        <x:v>1976 Q4–2020 Q3; 176 complete quarterly observations. Calendar quarters; contemporaneous alignment.</x:v>
      </x:c>
    </x:row>
    <x:row r="3" ht="47" customHeight="1">
      <x:c r="A3" s="7" t="str">
        <x:v>GDP growth</x:v>
      </x:c>
      <x:c r="B3" s="7" t="str">
        <x:v>100 × (real GDP[t] / real GDP[t−1] − 1), percent per quarter, NOT annualized. Both GDP series seasonally adjusted.</x:v>
      </x:c>
    </x:row>
    <x:row r="4" ht="47" customHeight="1">
      <x:c r="A4" s="7" t="str">
        <x:v>US GDP</x:v>
      </x:c>
      <x:c r="B4" s="7" t="str">
        <x:v>BEA via FRED, GDPC1. Real GDP in billions of chained 2017 USD, seasonally adjusted annual rate. The annual-rate factor cancels in the growth ratio.</x:v>
      </x:c>
    </x:row>
    <x:row r="5" ht="47" customHeight="1">
      <x:c r="A5" s="7" t="str">
        <x:v>US GDP source</x:v>
      </x:c>
      <x:c r="B5" s="7" t="str">
        <x:v>https://fred.stlouisfed.org/series/GDPC1</x:v>
      </x:c>
    </x:row>
    <x:row r="6" ht="47" customHeight="1">
      <x:c r="A6" s="7" t="str">
        <x:v>Australian GDP</x:v>
      </x:c>
      <x:c r="B6" s="7" t="str">
        <x:v>IMF International Financial Statistics via FRED, NGDPRSAXDCAUQ. Real GDP in millions of domestic currency (AUD), seasonally adjusted.</x:v>
      </x:c>
    </x:row>
    <x:row r="7" ht="47" customHeight="1">
      <x:c r="A7" s="7" t="str">
        <x:v>Australian GDP source</x:v>
      </x:c>
      <x:c r="B7" s="7" t="str">
        <x:v>https://fred.stlouisfed.org/series/NGDPRSAXDCAUQ</x:v>
      </x:c>
    </x:row>
    <x:row r="8" ht="47" customHeight="1">
      <x:c r="A8" s="7" t="str">
        <x:v>US financial conditions</x:v>
      </x:c>
      <x:c r="B8" s="7" t="str">
        <x:v>Chicago Fed NFCI via FRED. Arithmetic mean of weekly observations whose Friday date falls in each calendar quarter. No interpolation.</x:v>
      </x:c>
    </x:row>
    <x:row r="9" ht="47" customHeight="1">
      <x:c r="A9" s="7" t="str">
        <x:v>US NFCI source</x:v>
      </x:c>
      <x:c r="B9" s="7" t="str">
        <x:v>https://fred.stlouisfed.org/series/NFCI</x:v>
      </x:c>
    </x:row>
    <x:row r="10" ht="47" customHeight="1">
      <x:c r="A10" s="7" t="str">
        <x:v>Australian financial conditions</x:v>
      </x:c>
      <x:c r="B10" s="7" t="str">
        <x:v>Hartigan, Luke and Michelle Wright (2021), Financial Conditions and Downside Risk to Economic Activity in Australia, RBA RDP 2021-03.</x:v>
      </x:c>
    </x:row>
    <x:row r="11" ht="47" customHeight="1">
      <x:c r="A11" s="7" t="str">
        <x:v>Australian FCI source</x:v>
      </x:c>
      <x:c r="B11" s="7" t="str">
        <x:v>https://www.rba.gov.au/publications/rdp/2021/2021-03/read-me.html</x:v>
      </x:c>
    </x:row>
    <x:row r="12" ht="47" customHeight="1">
      <x:c r="A12" s="7" t="str">
        <x:v>Australian FCI file</x:v>
      </x:c>
      <x:c r="B12" s="7" t="str">
        <x:v>Data/fci_q_1_s_1_p_1_rdp.csv in the RBA supplementary ZIP; supplied full-dataset FCI, not re-estimated from the restricted replication panel.</x:v>
      </x:c>
    </x:row>
    <x:row r="13" ht="47" customHeight="1">
      <x:c r="A13" s="7" t="str">
        <x:v>FCI direction</x:v>
      </x:c>
      <x:c r="B13" s="7" t="str">
        <x:v>Higher values indicate tighter financial conditions for both indices. Units and baskets differ; a one-unit movement is not directly comparable across countries.</x:v>
      </x:c>
    </x:row>
    <x:row r="14" ht="47" customHeight="1">
      <x:c r="A14" s="7" t="str">
        <x:v>Cross-country analysis</x:v>
      </x:c>
      <x:c r="B14" s="7" t="str">
        <x:v>The Australian FCI includes US financial variables. Apparent US–Australia connectedness can partly reflect shared inputs; it is not by itself evidence of causal spillovers.</x:v>
      </x:c>
    </x:row>
    <x:row r="15" ht="47" customHeight="1">
      <x:c r="A15" s="7" t="str">
        <x:v>Data vintages</x:v>
      </x:c>
      <x:c r="B15" s="7" t="str">
        <x:v>Downloaded 8 October 2026 UTC (9 October Sydney). GDP and US NFCI use available revised series; Australian FCI is the fixed 2021 research vintage. Not a real-time vintage dataset.</x:v>
      </x:c>
    </x:row>
    <x:row r="16" ht="47" customHeight="1">
      <x:c r="A16" s="7" t="str">
        <x:v>Coverage limitation</x:v>
      </x:c>
      <x:c r="B16" s="7" t="str">
        <x:v>Australian FCI ends in 2020 Q3. No Australian FCI values have been extrapolated or spliced to another index.</x:v>
      </x:c>
    </x:row>
    <x:row r="17" ht="47" customHeight="1">
      <x:c r="A17" s="7" t="str">
        <x:v>Inputs</x:v>
      </x:c>
      <x:c r="B17" s="7" t="str">
        <x:v>1976 Q3 is retained only to calculate the first GDP growth observation. Australian FCI is unavailable for that initial input quarter.</x:v>
      </x:c>
    </x:row>
    <x:row r="18" ht="47" customHeight="1">
      <x:c r="A18" s="7" t="str">
        <x:v>GDP levels</x:v>
      </x:c>
      <x:c r="B18" s="7" t="str">
        <x:v>Levels retain their original national units and annualization conventions. Use the harmonized growth columns for comparison, not level differences.</x:v>
      </x:c>
    </x:row>
    <x:row r="19" ht="47" customHeight="1">
      <x:c r="A19" s="7" t="str">
        <x:v>Annualized growth option</x:v>
      </x:c>
      <x:c r="B19" s="7" t="str">
        <x:v>If required, calculate 100 × ((1 + g/100)^4 − 1) from either quarter-on-quarter growth column.</x:v>
      </x:c>
    </x:row>
    <x:row r="20" ht="47" customHeight="1">
      <x:c r="A20" s="7" t="str">
        <x:v>Validation</x:v>
      </x:c>
      <x:c r="B20" s="7" t="str">
        <x:v>176 unique consecutive quarters; no missing merged values; 12–14 weekly NFCI observations per quarter; GDP growth independently checked against input levels.</x:v>
      </x:c>
    </x:row>
    <x:row r="21" ht="47" customHeight="1">
      <x:c r="A21" s="7" t="str">
        <x:v>Suggested model variables</x:v>
      </x:c>
      <x:c r="B21" s="7" t="str">
        <x:v>us_gdp_growth_qoq_pct, us_nfci, aus_gdp_growth_qoq_pct, aus_fci. Column order is not a structural identification assumption.</x:v>
      </x:c>
    </x:row>
  </x:sheetData>
  <x:pageMargins left="0.7" right="0.7" top="0.75" bottom="0.75" header="0.3" footer="0.3"/>
</x:worksheet>
</file>